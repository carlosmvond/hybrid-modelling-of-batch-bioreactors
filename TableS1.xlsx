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Otros ordenadores\PUCV\Paper_hybrid_modelling\AMM\"/>
    </mc:Choice>
  </mc:AlternateContent>
  <xr:revisionPtr revIDLastSave="0" documentId="13_ncr:1_{32AFFA20-22DC-4DA8-9C43-D51F1539F4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lobal vs Minibatch" sheetId="3" r:id="rId1"/>
  </sheets>
  <definedNames>
    <definedName name="_xlnm._FilterDatabase" localSheetId="0" hidden="1">'Global vs Minibatch'!$A$1:$BL$9</definedName>
  </definedNames>
  <calcPr calcId="191029"/>
</workbook>
</file>

<file path=xl/calcChain.xml><?xml version="1.0" encoding="utf-8"?>
<calcChain xmlns="http://schemas.openxmlformats.org/spreadsheetml/2006/main">
  <c r="BO3" i="3" l="1"/>
  <c r="BO4" i="3"/>
  <c r="BO5" i="3"/>
  <c r="BO6" i="3"/>
  <c r="BO7" i="3"/>
  <c r="BO8" i="3"/>
  <c r="BO9" i="3"/>
  <c r="BO10" i="3"/>
  <c r="BO11" i="3"/>
  <c r="BO12" i="3"/>
  <c r="BO13" i="3"/>
  <c r="BO14" i="3"/>
  <c r="BO15" i="3"/>
  <c r="BO16" i="3"/>
  <c r="BO17" i="3"/>
  <c r="BO18" i="3"/>
  <c r="BO19" i="3"/>
  <c r="BO20" i="3"/>
  <c r="BO21" i="3"/>
  <c r="BO22" i="3"/>
  <c r="BO23" i="3"/>
  <c r="BO24" i="3"/>
  <c r="BO25" i="3"/>
  <c r="BO26" i="3"/>
  <c r="BO27" i="3"/>
  <c r="BO28" i="3"/>
  <c r="BO29" i="3"/>
  <c r="BO30" i="3"/>
  <c r="BO31" i="3"/>
  <c r="BO32" i="3"/>
  <c r="BO33" i="3"/>
  <c r="BO2" i="3"/>
  <c r="BN3" i="3"/>
  <c r="BN4" i="3"/>
  <c r="BN5" i="3"/>
  <c r="BN6" i="3"/>
  <c r="BN7" i="3"/>
  <c r="BN8" i="3"/>
  <c r="BN9" i="3"/>
  <c r="BN10" i="3"/>
  <c r="BN11" i="3"/>
  <c r="BN12" i="3"/>
  <c r="BN13" i="3"/>
  <c r="BN14" i="3"/>
  <c r="BN15" i="3"/>
  <c r="BN16" i="3"/>
  <c r="BN17" i="3"/>
  <c r="BN18" i="3"/>
  <c r="BN19" i="3"/>
  <c r="BN20" i="3"/>
  <c r="BN21" i="3"/>
  <c r="BN22" i="3"/>
  <c r="BN23" i="3"/>
  <c r="BN24" i="3"/>
  <c r="BN25" i="3"/>
  <c r="BN26" i="3"/>
  <c r="BN27" i="3"/>
  <c r="BN28" i="3"/>
  <c r="BN29" i="3"/>
  <c r="BN30" i="3"/>
  <c r="BN31" i="3"/>
  <c r="BN32" i="3"/>
  <c r="BN33" i="3"/>
  <c r="BN2" i="3"/>
  <c r="BM3" i="3"/>
  <c r="BM4" i="3"/>
  <c r="BM5" i="3"/>
  <c r="BM6" i="3"/>
  <c r="BM7" i="3"/>
  <c r="BM8" i="3"/>
  <c r="BM9" i="3"/>
  <c r="BM10" i="3"/>
  <c r="BM11" i="3"/>
  <c r="BM12" i="3"/>
  <c r="BM13" i="3"/>
  <c r="BM14" i="3"/>
  <c r="BM15" i="3"/>
  <c r="BM16" i="3"/>
  <c r="BM17" i="3"/>
  <c r="BM18" i="3"/>
  <c r="BM19" i="3"/>
  <c r="BM20" i="3"/>
  <c r="BM21" i="3"/>
  <c r="BM22" i="3"/>
  <c r="BM23" i="3"/>
  <c r="BM24" i="3"/>
  <c r="BM25" i="3"/>
  <c r="BM26" i="3"/>
  <c r="BM27" i="3"/>
  <c r="BM28" i="3"/>
  <c r="BM29" i="3"/>
  <c r="BM30" i="3"/>
  <c r="BM31" i="3"/>
  <c r="BM32" i="3"/>
  <c r="BM33" i="3"/>
  <c r="BM2" i="3"/>
</calcChain>
</file>

<file path=xl/sharedStrings.xml><?xml version="1.0" encoding="utf-8"?>
<sst xmlns="http://schemas.openxmlformats.org/spreadsheetml/2006/main" count="227" uniqueCount="80">
  <si>
    <t>model</t>
  </si>
  <si>
    <t>learning_rate</t>
  </si>
  <si>
    <t>dropout</t>
  </si>
  <si>
    <t>hidden_layers</t>
  </si>
  <si>
    <t>lambda_IC</t>
  </si>
  <si>
    <t>activation</t>
  </si>
  <si>
    <t>architecture</t>
  </si>
  <si>
    <t>n_net_parameters</t>
  </si>
  <si>
    <t>n_fitted_parameters</t>
  </si>
  <si>
    <t>n_obs_train</t>
  </si>
  <si>
    <t>obs_per_parameter</t>
  </si>
  <si>
    <t>seed</t>
  </si>
  <si>
    <t>diverged</t>
  </si>
  <si>
    <t>epochs_completed</t>
  </si>
  <si>
    <t>best_epoch</t>
  </si>
  <si>
    <t>best_validation_loss</t>
  </si>
  <si>
    <t>train_loss_at_best</t>
  </si>
  <si>
    <t>test_loss_at_best</t>
  </si>
  <si>
    <t>final_train_loss</t>
  </si>
  <si>
    <t>final_validation_loss</t>
  </si>
  <si>
    <t>ic_deviation_rms</t>
  </si>
  <si>
    <t>cpu_time_s</t>
  </si>
  <si>
    <t>wall_time_s</t>
  </si>
  <si>
    <t>any_negative_state</t>
  </si>
  <si>
    <t>min_X</t>
  </si>
  <si>
    <t>min_G</t>
  </si>
  <si>
    <t>min_A</t>
  </si>
  <si>
    <t>test_loss_batch_0</t>
  </si>
  <si>
    <t>test_loss_batch_3</t>
  </si>
  <si>
    <t>test_loss_batch_4</t>
  </si>
  <si>
    <t>test_loss_batch_8</t>
  </si>
  <si>
    <t>test_loss_batch_9</t>
  </si>
  <si>
    <t>r2_train_X</t>
  </si>
  <si>
    <t>r2_train_b1_X</t>
  </si>
  <si>
    <t>r2_train_b1_G</t>
  </si>
  <si>
    <t>r2_train_b1_A</t>
  </si>
  <si>
    <t>r2_train_b6_X</t>
  </si>
  <si>
    <t>r2_train_b6_G</t>
  </si>
  <si>
    <t>r2_train_b6_A</t>
  </si>
  <si>
    <t>r2_train_b7_X</t>
  </si>
  <si>
    <t>r2_train_b7_G</t>
  </si>
  <si>
    <t>r2_train_b7_A</t>
  </si>
  <si>
    <t>r2_valid_b2_X</t>
  </si>
  <si>
    <t>r2_valid_b2_G</t>
  </si>
  <si>
    <t>r2_valid_b2_A</t>
  </si>
  <si>
    <t>r2_valid_b5_X</t>
  </si>
  <si>
    <t>r2_valid_b5_G</t>
  </si>
  <si>
    <t>r2_valid_b5_A</t>
  </si>
  <si>
    <t>r2_test_b0_X</t>
  </si>
  <si>
    <t>r2_test_b0_G</t>
  </si>
  <si>
    <t>r2_test_b0_A</t>
  </si>
  <si>
    <t>r2_test_b3_X</t>
  </si>
  <si>
    <t>r2_test_b3_G</t>
  </si>
  <si>
    <t>r2_test_b3_A</t>
  </si>
  <si>
    <t>r2_test_b4_X</t>
  </si>
  <si>
    <t>r2_test_b4_G</t>
  </si>
  <si>
    <t>r2_test_b4_A</t>
  </si>
  <si>
    <t>r2_test_b8_X</t>
  </si>
  <si>
    <t>r2_test_b8_G</t>
  </si>
  <si>
    <t>r2_test_b8_A</t>
  </si>
  <si>
    <t>r2_test_b9_X</t>
  </si>
  <si>
    <t>r2_test_b9_G</t>
  </si>
  <si>
    <t>r2_test_b9_A</t>
  </si>
  <si>
    <t>proposed</t>
  </si>
  <si>
    <t>5</t>
  </si>
  <si>
    <t>relu</t>
  </si>
  <si>
    <t>3-5-4</t>
  </si>
  <si>
    <t>tanh</t>
  </si>
  <si>
    <t>5-5</t>
  </si>
  <si>
    <t>3-5-5-4</t>
  </si>
  <si>
    <t>7-7-7</t>
  </si>
  <si>
    <t>3-7-7-7-4</t>
  </si>
  <si>
    <t>7-7-7-7</t>
  </si>
  <si>
    <t>3-7-7-7-7-4</t>
  </si>
  <si>
    <t>Strategy</t>
  </si>
  <si>
    <t>Global</t>
  </si>
  <si>
    <t>Minibatch</t>
  </si>
  <si>
    <t>r2_mean_val</t>
  </si>
  <si>
    <t>r2_mean_test</t>
  </si>
  <si>
    <t>r2_mean_train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</si>
</sst>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E+00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164" fontId="2" fillId="0" borderId="2" xfId="0" applyNumberFormat="1" applyFont="1" applyBorder="1"/>
    <xf numFmtId="165" fontId="2" fillId="0" borderId="2" xfId="0" applyNumberFormat="1" applyFont="1" applyBorder="1"/>
    <xf numFmtId="2" fontId="2" fillId="0" borderId="2" xfId="0" applyNumberFormat="1" applyFont="1" applyBorder="1"/>
    <xf numFmtId="0" fontId="0" fillId="3" borderId="0" xfId="0" applyFill="1"/>
    <xf numFmtId="0" fontId="3" fillId="4" borderId="2" xfId="0" applyFont="1" applyFill="1" applyBorder="1"/>
    <xf numFmtId="0" fontId="2" fillId="4" borderId="2" xfId="0" applyFont="1" applyFill="1" applyBorder="1"/>
    <xf numFmtId="164" fontId="3" fillId="4" borderId="2" xfId="0" applyNumberFormat="1" applyFont="1" applyFill="1" applyBorder="1"/>
    <xf numFmtId="165" fontId="3" fillId="4" borderId="2" xfId="0" applyNumberFormat="1" applyFont="1" applyFill="1" applyBorder="1"/>
    <xf numFmtId="2" fontId="3" fillId="4" borderId="2" xfId="0" applyNumberFormat="1" applyFont="1" applyFill="1" applyBorder="1"/>
    <xf numFmtId="0" fontId="3" fillId="3" borderId="2" xfId="0" applyFont="1" applyFill="1" applyBorder="1"/>
    <xf numFmtId="0" fontId="2" fillId="3" borderId="2" xfId="0" applyFont="1" applyFill="1" applyBorder="1"/>
    <xf numFmtId="164" fontId="3" fillId="3" borderId="2" xfId="0" applyNumberFormat="1" applyFont="1" applyFill="1" applyBorder="1"/>
    <xf numFmtId="165" fontId="3" fillId="3" borderId="2" xfId="0" applyNumberFormat="1" applyFont="1" applyFill="1" applyBorder="1"/>
    <xf numFmtId="2" fontId="3" fillId="3" borderId="2" xfId="0" applyNumberFormat="1" applyFont="1" applyFill="1" applyBorder="1"/>
    <xf numFmtId="0" fontId="0" fillId="4" borderId="0" xfId="0" applyFill="1"/>
    <xf numFmtId="0" fontId="3" fillId="5" borderId="2" xfId="0" applyFont="1" applyFill="1" applyBorder="1"/>
    <xf numFmtId="0" fontId="2" fillId="5" borderId="2" xfId="0" applyFont="1" applyFill="1" applyBorder="1"/>
    <xf numFmtId="164" fontId="3" fillId="5" borderId="2" xfId="0" applyNumberFormat="1" applyFont="1" applyFill="1" applyBorder="1"/>
    <xf numFmtId="165" fontId="3" fillId="5" borderId="2" xfId="0" applyNumberFormat="1" applyFont="1" applyFill="1" applyBorder="1"/>
    <xf numFmtId="2" fontId="3" fillId="5" borderId="2" xfId="0" applyNumberFormat="1" applyFont="1" applyFill="1" applyBorder="1"/>
    <xf numFmtId="0" fontId="0" fillId="5" borderId="0" xfId="0" applyFill="1"/>
    <xf numFmtId="164" fontId="0" fillId="5" borderId="0" xfId="0" applyNumberFormat="1" applyFill="1"/>
    <xf numFmtId="164" fontId="0" fillId="0" borderId="0" xfId="0" applyNumberFormat="1"/>
    <xf numFmtId="0" fontId="1" fillId="2" borderId="3" xfId="0" applyFont="1" applyFill="1" applyBorder="1" applyAlignment="1">
      <alignment horizontal="center" vertical="center" wrapText="1"/>
    </xf>
    <xf numFmtId="164" fontId="2" fillId="4" borderId="2" xfId="0" applyNumberFormat="1" applyFont="1" applyFill="1" applyBorder="1"/>
    <xf numFmtId="164" fontId="0" fillId="0" borderId="0" xfId="0" applyNumberFormat="1" applyFont="1"/>
    <xf numFmtId="164" fontId="2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C9554-741D-4F96-A841-F6B6CC5B7263}">
  <dimension ref="A1:BP34"/>
  <sheetViews>
    <sheetView tabSelected="1" topLeftCell="BA1" workbookViewId="0">
      <pane ySplit="1" topLeftCell="A2" activePane="bottomLeft" state="frozen"/>
      <selection pane="bottomLeft" activeCell="BO8" sqref="BO8"/>
    </sheetView>
  </sheetViews>
  <sheetFormatPr baseColWidth="10" defaultColWidth="9.140625" defaultRowHeight="15" x14ac:dyDescent="0.25"/>
  <cols>
    <col min="1" max="1" width="12" customWidth="1"/>
    <col min="2" max="2" width="14" customWidth="1"/>
    <col min="3" max="3" width="16" customWidth="1"/>
    <col min="4" max="4" width="12" customWidth="1"/>
    <col min="5" max="5" width="16" customWidth="1"/>
    <col min="6" max="6" width="12" customWidth="1"/>
    <col min="7" max="7" width="13" customWidth="1"/>
    <col min="8" max="8" width="15" customWidth="1"/>
    <col min="9" max="9" width="19" customWidth="1"/>
    <col min="10" max="10" width="20" customWidth="1"/>
    <col min="11" max="11" width="14" customWidth="1"/>
    <col min="12" max="12" width="20" customWidth="1"/>
    <col min="13" max="14" width="12" customWidth="1"/>
    <col min="15" max="15" width="19" customWidth="1"/>
    <col min="16" max="16" width="13" customWidth="1"/>
    <col min="17" max="19" width="20" customWidth="1"/>
    <col min="20" max="20" width="19" customWidth="1"/>
    <col min="21" max="21" width="20" customWidth="1"/>
    <col min="22" max="22" width="19" customWidth="1"/>
    <col min="23" max="23" width="13" customWidth="1"/>
    <col min="24" max="24" width="14" customWidth="1"/>
    <col min="25" max="25" width="20" customWidth="1"/>
    <col min="26" max="28" width="12" customWidth="1"/>
    <col min="29" max="33" width="20" customWidth="1"/>
    <col min="34" max="34" width="13" customWidth="1"/>
    <col min="35" max="49" width="16" customWidth="1"/>
    <col min="50" max="66" width="15" customWidth="1"/>
  </cols>
  <sheetData>
    <row r="1" spans="1:68" ht="32.1" customHeight="1" x14ac:dyDescent="0.25">
      <c r="A1" s="1" t="s">
        <v>0</v>
      </c>
      <c r="B1" s="1" t="s">
        <v>74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77</v>
      </c>
      <c r="BN1" s="1" t="s">
        <v>78</v>
      </c>
      <c r="BO1" s="26" t="s">
        <v>79</v>
      </c>
    </row>
    <row r="2" spans="1:68" x14ac:dyDescent="0.25">
      <c r="A2" s="7" t="s">
        <v>63</v>
      </c>
      <c r="B2" s="8" t="s">
        <v>75</v>
      </c>
      <c r="C2" s="9">
        <v>0.01</v>
      </c>
      <c r="D2" s="9">
        <v>0.1</v>
      </c>
      <c r="E2" s="7" t="s">
        <v>64</v>
      </c>
      <c r="F2" s="9">
        <v>1</v>
      </c>
      <c r="G2" s="7" t="s">
        <v>67</v>
      </c>
      <c r="H2" s="7" t="s">
        <v>66</v>
      </c>
      <c r="I2" s="7">
        <v>44</v>
      </c>
      <c r="J2" s="7">
        <v>50</v>
      </c>
      <c r="K2" s="7">
        <v>90</v>
      </c>
      <c r="L2" s="7">
        <v>2.0449999999999999</v>
      </c>
      <c r="M2" s="7">
        <v>1</v>
      </c>
      <c r="N2" s="7">
        <v>0</v>
      </c>
      <c r="O2" s="7">
        <v>10000</v>
      </c>
      <c r="P2" s="7">
        <v>3933</v>
      </c>
      <c r="Q2" s="10">
        <v>0.17481130361557001</v>
      </c>
      <c r="R2" s="10">
        <v>3.4061543643474503E-2</v>
      </c>
      <c r="S2" s="10">
        <v>1.8368687748909001</v>
      </c>
      <c r="T2" s="10">
        <v>0.69349285960197449</v>
      </c>
      <c r="U2" s="10">
        <v>0.76264858245849609</v>
      </c>
      <c r="V2" s="10">
        <v>1.41255408525466E-2</v>
      </c>
      <c r="W2" s="11">
        <v>1637.4523281679999</v>
      </c>
      <c r="X2" s="11">
        <v>1759.566253731</v>
      </c>
      <c r="Y2" s="7">
        <v>0</v>
      </c>
      <c r="Z2" s="9">
        <v>7.1406297385692596E-2</v>
      </c>
      <c r="AA2" s="9">
        <v>-2.7267378754913812E-7</v>
      </c>
      <c r="AB2" s="9">
        <v>-1.419005002389895E-8</v>
      </c>
      <c r="AC2" s="10">
        <v>0.89111536741256714</v>
      </c>
      <c r="AD2" s="10">
        <v>0.53487569093704224</v>
      </c>
      <c r="AE2" s="10">
        <v>6.6288299560546884</v>
      </c>
      <c r="AF2" s="10">
        <v>0.55753612518310547</v>
      </c>
      <c r="AG2" s="10">
        <v>0.57198673486709595</v>
      </c>
      <c r="AH2" s="9">
        <v>0.97423490055760198</v>
      </c>
      <c r="AI2" s="9">
        <v>0.95334625033902165</v>
      </c>
      <c r="AJ2" s="9">
        <v>0.98757078672318555</v>
      </c>
      <c r="AK2" s="9">
        <v>0.99676754316650362</v>
      </c>
      <c r="AL2" s="9">
        <v>0.98670850632561757</v>
      </c>
      <c r="AM2" s="9">
        <v>0.99695139334594562</v>
      </c>
      <c r="AN2" s="9">
        <v>0.99655253682908063</v>
      </c>
      <c r="AO2" s="9">
        <v>0.97364366182574302</v>
      </c>
      <c r="AP2" s="9">
        <v>0.99071518359725197</v>
      </c>
      <c r="AQ2" s="9">
        <v>0.98930608624911875</v>
      </c>
      <c r="AR2" s="9">
        <v>0.95105707931416039</v>
      </c>
      <c r="AS2" s="9">
        <v>0.97891322377378875</v>
      </c>
      <c r="AT2" s="9">
        <v>0.98929303577999983</v>
      </c>
      <c r="AU2" s="9">
        <v>0.62254355050698429</v>
      </c>
      <c r="AV2" s="9">
        <v>0.99925174548152984</v>
      </c>
      <c r="AW2" s="9">
        <v>0.95948888563089763</v>
      </c>
      <c r="AX2" s="9">
        <v>-0.79253770804021495</v>
      </c>
      <c r="AY2" s="9">
        <v>0.96483004813444595</v>
      </c>
      <c r="AZ2" s="9">
        <v>0.95064025015209164</v>
      </c>
      <c r="BA2" s="9">
        <v>0.88108771946453368</v>
      </c>
      <c r="BB2" s="9">
        <v>0.94034616180741282</v>
      </c>
      <c r="BC2" s="9">
        <v>0.60491996083765232</v>
      </c>
      <c r="BD2" s="9">
        <v>-10.540659142417651</v>
      </c>
      <c r="BE2" s="9">
        <v>0.83658953259647861</v>
      </c>
      <c r="BF2" s="9">
        <v>2.5189310896278402E-2</v>
      </c>
      <c r="BG2" s="9">
        <v>0.92774789756649978</v>
      </c>
      <c r="BH2" s="9">
        <v>0.97348843843179245</v>
      </c>
      <c r="BI2" s="9">
        <v>0.51355359068348472</v>
      </c>
      <c r="BJ2" s="9">
        <v>0.90771613370516402</v>
      </c>
      <c r="BK2" s="9">
        <v>0.95880717250376557</v>
      </c>
      <c r="BL2" s="9">
        <v>0.52893832859394996</v>
      </c>
      <c r="BM2" s="27">
        <f>AVERAGE(AR2:AW2)</f>
        <v>0.91675792008122681</v>
      </c>
      <c r="BN2" s="27">
        <f>AVERAGE(AX2:BL2)</f>
        <v>-8.7956153672287693E-2</v>
      </c>
      <c r="BO2" s="28">
        <f>AVERAGE(AI2:AQ2)</f>
        <v>0.98572910537794078</v>
      </c>
      <c r="BP2" s="25"/>
    </row>
    <row r="3" spans="1:68" x14ac:dyDescent="0.25">
      <c r="A3" s="2" t="s">
        <v>63</v>
      </c>
      <c r="B3" s="2" t="s">
        <v>75</v>
      </c>
      <c r="C3" s="3">
        <v>0.01</v>
      </c>
      <c r="D3" s="3">
        <v>0.1</v>
      </c>
      <c r="E3" s="2" t="s">
        <v>70</v>
      </c>
      <c r="F3" s="3">
        <v>1</v>
      </c>
      <c r="G3" s="2" t="s">
        <v>67</v>
      </c>
      <c r="H3" s="2" t="s">
        <v>71</v>
      </c>
      <c r="I3" s="2">
        <v>172</v>
      </c>
      <c r="J3" s="2">
        <v>178</v>
      </c>
      <c r="K3" s="2">
        <v>90</v>
      </c>
      <c r="L3" s="2">
        <v>0.52300000000000002</v>
      </c>
      <c r="M3" s="2">
        <v>1</v>
      </c>
      <c r="N3" s="2">
        <v>0</v>
      </c>
      <c r="O3" s="2">
        <v>10000</v>
      </c>
      <c r="P3" s="2">
        <v>4655</v>
      </c>
      <c r="Q3" s="4">
        <v>0.17977990210056299</v>
      </c>
      <c r="R3" s="4">
        <v>0.61696916073560715</v>
      </c>
      <c r="S3" s="4">
        <v>1.799627143144608</v>
      </c>
      <c r="T3" s="4">
        <v>3.6884337663650499E-2</v>
      </c>
      <c r="U3" s="4">
        <v>0.90801098197698604</v>
      </c>
      <c r="V3" s="4">
        <v>3.3795073628425598E-2</v>
      </c>
      <c r="W3" s="5">
        <v>2022.600180568</v>
      </c>
      <c r="X3" s="5">
        <v>2064.0796044389999</v>
      </c>
      <c r="Y3" s="2">
        <v>0</v>
      </c>
      <c r="Z3" s="3">
        <v>9.1583408415317494E-2</v>
      </c>
      <c r="AA3" s="3">
        <v>-3.0749333745916369E-7</v>
      </c>
      <c r="AB3" s="3">
        <v>-1.5945005316098099E-7</v>
      </c>
      <c r="AC3" s="4">
        <v>0.48479732871055597</v>
      </c>
      <c r="AD3" s="4">
        <v>0.88128340244293213</v>
      </c>
      <c r="AE3" s="4">
        <v>6.1190767288208008</v>
      </c>
      <c r="AF3" s="4">
        <v>0.7120930552482605</v>
      </c>
      <c r="AG3" s="4">
        <v>0.80088520050048828</v>
      </c>
      <c r="AH3" s="3">
        <v>0.92150295551397443</v>
      </c>
      <c r="AI3" s="3">
        <v>0.9870458720308164</v>
      </c>
      <c r="AJ3" s="3">
        <v>0.98728163695396864</v>
      </c>
      <c r="AK3" s="3">
        <v>0.99138143626976838</v>
      </c>
      <c r="AL3" s="3">
        <v>0.93306575737134523</v>
      </c>
      <c r="AM3" s="3">
        <v>0.9483572715817612</v>
      </c>
      <c r="AN3" s="3">
        <v>0.47370353295186668</v>
      </c>
      <c r="AO3" s="3">
        <v>0.88103127183097685</v>
      </c>
      <c r="AP3" s="3">
        <v>0.89159619774532506</v>
      </c>
      <c r="AQ3" s="3">
        <v>0.45892002466732967</v>
      </c>
      <c r="AR3" s="3">
        <v>0.85939939638445528</v>
      </c>
      <c r="AS3" s="3">
        <v>0.95417922025464597</v>
      </c>
      <c r="AT3" s="3">
        <v>0.98838644276516641</v>
      </c>
      <c r="AU3" s="3">
        <v>0.86197680067730165</v>
      </c>
      <c r="AV3" s="3">
        <v>0.98113525954606262</v>
      </c>
      <c r="AW3" s="3">
        <v>0.94949017194887564</v>
      </c>
      <c r="AX3" s="3">
        <v>0.32293090983757627</v>
      </c>
      <c r="AY3" s="3">
        <v>0.88765048772188837</v>
      </c>
      <c r="AZ3" s="3">
        <v>0.97328875274306237</v>
      </c>
      <c r="BA3" s="3">
        <v>0.70962249675447808</v>
      </c>
      <c r="BB3" s="3">
        <v>0.85198103533365999</v>
      </c>
      <c r="BC3" s="3">
        <v>0.46604999573952488</v>
      </c>
      <c r="BD3" s="3">
        <v>-1.993454992477212</v>
      </c>
      <c r="BE3" s="3">
        <v>0.60243111996729659</v>
      </c>
      <c r="BF3" s="3">
        <v>-0.44288177815158408</v>
      </c>
      <c r="BG3" s="3">
        <v>0.80599463584239417</v>
      </c>
      <c r="BH3" s="3">
        <v>0.9291459946453704</v>
      </c>
      <c r="BI3" s="3">
        <v>0.4904930587725172</v>
      </c>
      <c r="BJ3" s="3">
        <v>0.75889504527739171</v>
      </c>
      <c r="BK3" s="3">
        <v>0.8928780027098322</v>
      </c>
      <c r="BL3" s="3">
        <v>0.47064994885785177</v>
      </c>
      <c r="BM3" s="29">
        <f t="shared" ref="BM3:BM33" si="0">AVERAGE(AR3:AW3)</f>
        <v>0.93242788192941795</v>
      </c>
      <c r="BN3" s="29">
        <f t="shared" ref="BN3:BN33" si="1">AVERAGE(AX3:BL3)</f>
        <v>0.44837831423826985</v>
      </c>
      <c r="BO3" s="28">
        <f t="shared" ref="BO3:BO33" si="2">AVERAGE(AI3:AQ3)</f>
        <v>0.83915366682257309</v>
      </c>
    </row>
    <row r="4" spans="1:68" x14ac:dyDescent="0.25">
      <c r="A4" s="2" t="s">
        <v>63</v>
      </c>
      <c r="B4" s="2" t="s">
        <v>75</v>
      </c>
      <c r="C4" s="3">
        <v>0.01</v>
      </c>
      <c r="D4" s="3">
        <v>0.1</v>
      </c>
      <c r="E4" s="2" t="s">
        <v>72</v>
      </c>
      <c r="F4" s="3">
        <v>1</v>
      </c>
      <c r="G4" s="2" t="s">
        <v>67</v>
      </c>
      <c r="H4" s="2" t="s">
        <v>73</v>
      </c>
      <c r="I4" s="2">
        <v>228</v>
      </c>
      <c r="J4" s="2">
        <v>234</v>
      </c>
      <c r="K4" s="2">
        <v>90</v>
      </c>
      <c r="L4" s="2">
        <v>0.39500000000000002</v>
      </c>
      <c r="M4" s="2">
        <v>1</v>
      </c>
      <c r="N4" s="2">
        <v>0</v>
      </c>
      <c r="O4" s="2">
        <v>10000</v>
      </c>
      <c r="P4" s="2">
        <v>4089</v>
      </c>
      <c r="Q4" s="4">
        <v>0.1861850693821907</v>
      </c>
      <c r="R4" s="4">
        <v>0.20397201552987099</v>
      </c>
      <c r="S4" s="4">
        <v>1.897128856182098</v>
      </c>
      <c r="T4" s="4">
        <v>3.5495024522145591</v>
      </c>
      <c r="U4" s="4">
        <v>4.7225944995880127</v>
      </c>
      <c r="V4" s="4">
        <v>1.3198010623455001E-2</v>
      </c>
      <c r="W4" s="5">
        <v>2147.0364245300002</v>
      </c>
      <c r="X4" s="5">
        <v>1940.564472736</v>
      </c>
      <c r="Y4" s="2">
        <v>0</v>
      </c>
      <c r="Z4" s="3">
        <v>9.3167364597320501E-2</v>
      </c>
      <c r="AA4" s="3">
        <v>-2.7331680030329158E-7</v>
      </c>
      <c r="AB4" s="3">
        <v>-1.7158185983134899E-8</v>
      </c>
      <c r="AC4" s="4">
        <v>0.35937529802322388</v>
      </c>
      <c r="AD4" s="4">
        <v>1.012272715568542</v>
      </c>
      <c r="AE4" s="4">
        <v>6.3637642860412598</v>
      </c>
      <c r="AF4" s="4">
        <v>0.8260839581489563</v>
      </c>
      <c r="AG4" s="4">
        <v>0.92414802312850963</v>
      </c>
      <c r="AH4" s="3">
        <v>0.93187919267645281</v>
      </c>
      <c r="AI4" s="3">
        <v>0.99335376560115596</v>
      </c>
      <c r="AJ4" s="3">
        <v>0.9795999614480676</v>
      </c>
      <c r="AK4" s="3">
        <v>0.72103373145302074</v>
      </c>
      <c r="AL4" s="3">
        <v>0.9506342306211556</v>
      </c>
      <c r="AM4" s="3">
        <v>0.98261876532803638</v>
      </c>
      <c r="AN4" s="3">
        <v>0.99484075170820196</v>
      </c>
      <c r="AO4" s="3">
        <v>0.88877313433689042</v>
      </c>
      <c r="AP4" s="3">
        <v>0.950915700859716</v>
      </c>
      <c r="AQ4" s="3">
        <v>0.99352598920997803</v>
      </c>
      <c r="AR4" s="3">
        <v>0.78459586932776326</v>
      </c>
      <c r="AS4" s="3">
        <v>0.89661136065380131</v>
      </c>
      <c r="AT4" s="3">
        <v>0.99144996088006865</v>
      </c>
      <c r="AU4" s="3">
        <v>0.93737921166165117</v>
      </c>
      <c r="AV4" s="3">
        <v>0.99825493500245355</v>
      </c>
      <c r="AW4" s="3">
        <v>0.96191096492347239</v>
      </c>
      <c r="AX4" s="3">
        <v>0.44939115426035431</v>
      </c>
      <c r="AY4" s="3">
        <v>0.94006974716924319</v>
      </c>
      <c r="AZ4" s="3">
        <v>0.97526470800235321</v>
      </c>
      <c r="BA4" s="3">
        <v>0.61956996291347344</v>
      </c>
      <c r="BB4" s="3">
        <v>0.76230254623907157</v>
      </c>
      <c r="BC4" s="3">
        <v>0.46971808045594338</v>
      </c>
      <c r="BD4" s="3">
        <v>-2.5139357652126928</v>
      </c>
      <c r="BE4" s="3">
        <v>0.68630213576275567</v>
      </c>
      <c r="BF4" s="3">
        <v>-0.52283745099742851</v>
      </c>
      <c r="BG4" s="3">
        <v>0.72167408918924014</v>
      </c>
      <c r="BH4" s="3">
        <v>0.85970362035455716</v>
      </c>
      <c r="BI4" s="3">
        <v>0.49438729279315308</v>
      </c>
      <c r="BJ4" s="3">
        <v>0.67112866704095309</v>
      </c>
      <c r="BK4" s="3">
        <v>0.81205853431554509</v>
      </c>
      <c r="BL4" s="3">
        <v>0.47436234433534219</v>
      </c>
      <c r="BM4" s="29">
        <f t="shared" si="0"/>
        <v>0.92836705040820178</v>
      </c>
      <c r="BN4" s="29">
        <f t="shared" si="1"/>
        <v>0.39327731110812431</v>
      </c>
      <c r="BO4" s="28">
        <f t="shared" si="2"/>
        <v>0.93947733672958045</v>
      </c>
    </row>
    <row r="5" spans="1:68" x14ac:dyDescent="0.25">
      <c r="A5" s="2" t="s">
        <v>63</v>
      </c>
      <c r="B5" s="2" t="s">
        <v>75</v>
      </c>
      <c r="C5" s="3">
        <v>0.01</v>
      </c>
      <c r="D5" s="3">
        <v>0.1</v>
      </c>
      <c r="E5" s="2" t="s">
        <v>68</v>
      </c>
      <c r="F5" s="3">
        <v>1</v>
      </c>
      <c r="G5" s="2" t="s">
        <v>67</v>
      </c>
      <c r="H5" s="2" t="s">
        <v>69</v>
      </c>
      <c r="I5" s="2">
        <v>74</v>
      </c>
      <c r="J5" s="2">
        <v>80</v>
      </c>
      <c r="K5" s="2">
        <v>90</v>
      </c>
      <c r="L5" s="2">
        <v>1.216</v>
      </c>
      <c r="M5" s="2">
        <v>1</v>
      </c>
      <c r="N5" s="2">
        <v>0</v>
      </c>
      <c r="O5" s="2">
        <v>10000</v>
      </c>
      <c r="P5" s="2">
        <v>6895</v>
      </c>
      <c r="Q5" s="4">
        <v>0.50931812822818756</v>
      </c>
      <c r="R5" s="4">
        <v>0.50195915500322974</v>
      </c>
      <c r="S5" s="4">
        <v>1.4657622098922729</v>
      </c>
      <c r="T5" s="4">
        <v>6.6295028974612494E-2</v>
      </c>
      <c r="U5" s="4">
        <v>1.1589562296867371</v>
      </c>
      <c r="V5" s="4">
        <v>1.5595745295286101E-2</v>
      </c>
      <c r="W5" s="5">
        <v>1869.8632275099999</v>
      </c>
      <c r="X5" s="5">
        <v>1898.0602832300001</v>
      </c>
      <c r="Y5" s="2">
        <v>0</v>
      </c>
      <c r="Z5" s="3">
        <v>0.10000000149011611</v>
      </c>
      <c r="AA5" s="3">
        <v>-1.2717919162241739E-7</v>
      </c>
      <c r="AB5" s="3">
        <v>-6.7781229518004693E-9</v>
      </c>
      <c r="AC5" s="4">
        <v>0.52439737319946289</v>
      </c>
      <c r="AD5" s="4">
        <v>0.8153565526008606</v>
      </c>
      <c r="AE5" s="4">
        <v>4.5729832649230957</v>
      </c>
      <c r="AF5" s="4">
        <v>0.66953897476196289</v>
      </c>
      <c r="AG5" s="4">
        <v>0.74653488397598267</v>
      </c>
      <c r="AH5" s="3">
        <v>0.95388116347662277</v>
      </c>
      <c r="AI5" s="3">
        <v>0.9888199522617992</v>
      </c>
      <c r="AJ5" s="3">
        <v>0.98259934254139958</v>
      </c>
      <c r="AK5" s="3">
        <v>0.67250288675778069</v>
      </c>
      <c r="AL5" s="3">
        <v>0.97310702135591998</v>
      </c>
      <c r="AM5" s="3">
        <v>0.96625465101955998</v>
      </c>
      <c r="AN5" s="3">
        <v>0.83196625397928914</v>
      </c>
      <c r="AO5" s="3">
        <v>0.923167122104535</v>
      </c>
      <c r="AP5" s="3">
        <v>0.87689050193603368</v>
      </c>
      <c r="AQ5" s="3">
        <v>0.6148782678916922</v>
      </c>
      <c r="AR5" s="3">
        <v>0.8432833396656807</v>
      </c>
      <c r="AS5" s="3">
        <v>0.9591810171249846</v>
      </c>
      <c r="AT5" s="3">
        <v>0.99644839742287605</v>
      </c>
      <c r="AU5" s="3">
        <v>0.92177849327122263</v>
      </c>
      <c r="AV5" s="3">
        <v>0.95934147395722358</v>
      </c>
      <c r="AW5" s="3">
        <v>0.63286811023545086</v>
      </c>
      <c r="AX5" s="3">
        <v>0.58864184468771552</v>
      </c>
      <c r="AY5" s="3">
        <v>0.88269479848690013</v>
      </c>
      <c r="AZ5" s="3">
        <v>0.90803787245768564</v>
      </c>
      <c r="BA5" s="3">
        <v>0.6997779723786447</v>
      </c>
      <c r="BB5" s="3">
        <v>0.85976619214993577</v>
      </c>
      <c r="BC5" s="3">
        <v>0.53735979295931813</v>
      </c>
      <c r="BD5" s="3">
        <v>-0.2219928266565793</v>
      </c>
      <c r="BE5" s="3">
        <v>0.63169455519279061</v>
      </c>
      <c r="BF5" s="3">
        <v>-0.12782291169953419</v>
      </c>
      <c r="BG5" s="3">
        <v>0.78963349529948057</v>
      </c>
      <c r="BH5" s="3">
        <v>0.93487852424643536</v>
      </c>
      <c r="BI5" s="3">
        <v>0.54355387478516037</v>
      </c>
      <c r="BJ5" s="3">
        <v>0.74649302755688773</v>
      </c>
      <c r="BK5" s="3">
        <v>0.89961870724098014</v>
      </c>
      <c r="BL5" s="3">
        <v>0.53243289331880428</v>
      </c>
      <c r="BM5" s="29">
        <f t="shared" si="0"/>
        <v>0.88548347194623978</v>
      </c>
      <c r="BN5" s="29">
        <f t="shared" si="1"/>
        <v>0.61365118749364167</v>
      </c>
      <c r="BO5" s="28">
        <f t="shared" si="2"/>
        <v>0.87002066664977873</v>
      </c>
    </row>
    <row r="6" spans="1:68" s="17" customFormat="1" x14ac:dyDescent="0.25">
      <c r="A6" s="2" t="s">
        <v>63</v>
      </c>
      <c r="B6" s="2" t="s">
        <v>75</v>
      </c>
      <c r="C6" s="3">
        <v>1E-3</v>
      </c>
      <c r="D6" s="3">
        <v>0.1</v>
      </c>
      <c r="E6" s="2" t="s">
        <v>64</v>
      </c>
      <c r="F6" s="3">
        <v>1</v>
      </c>
      <c r="G6" s="2" t="s">
        <v>67</v>
      </c>
      <c r="H6" s="2" t="s">
        <v>66</v>
      </c>
      <c r="I6" s="2">
        <v>44</v>
      </c>
      <c r="J6" s="2">
        <v>50</v>
      </c>
      <c r="K6" s="2">
        <v>90</v>
      </c>
      <c r="L6" s="2">
        <v>2.0449999999999999</v>
      </c>
      <c r="M6" s="2">
        <v>1</v>
      </c>
      <c r="N6" s="2">
        <v>0</v>
      </c>
      <c r="O6" s="2">
        <v>10000</v>
      </c>
      <c r="P6" s="2">
        <v>9796</v>
      </c>
      <c r="Q6" s="4">
        <v>0.80180056020617485</v>
      </c>
      <c r="R6" s="4">
        <v>3.0909025420745199E-2</v>
      </c>
      <c r="S6" s="4">
        <v>1.806179535388946</v>
      </c>
      <c r="T6" s="4">
        <v>2.2775846223036401E-2</v>
      </c>
      <c r="U6" s="4">
        <v>0.85053547844290733</v>
      </c>
      <c r="V6" s="4">
        <v>2.7985603082924999E-3</v>
      </c>
      <c r="W6" s="5">
        <v>1675.9065269710011</v>
      </c>
      <c r="X6" s="5">
        <v>1683.268977422998</v>
      </c>
      <c r="Y6" s="2">
        <v>0</v>
      </c>
      <c r="Z6" s="3">
        <v>0.10000000149011611</v>
      </c>
      <c r="AA6" s="3">
        <v>-1.079943103832193E-7</v>
      </c>
      <c r="AB6" s="3">
        <v>-5.8186628848488908E-9</v>
      </c>
      <c r="AC6" s="4">
        <v>1.574146509170532</v>
      </c>
      <c r="AD6" s="4">
        <v>0.43185263872146601</v>
      </c>
      <c r="AE6" s="4">
        <v>6.145331859588623</v>
      </c>
      <c r="AF6" s="4">
        <v>0.43829098343849182</v>
      </c>
      <c r="AG6" s="4">
        <v>0.44127568602561951</v>
      </c>
      <c r="AH6" s="3">
        <v>0.97739561028064725</v>
      </c>
      <c r="AI6" s="3">
        <v>0.97951209774450365</v>
      </c>
      <c r="AJ6" s="3">
        <v>0.98885588657513723</v>
      </c>
      <c r="AK6" s="3">
        <v>0.9898450519369556</v>
      </c>
      <c r="AL6" s="3">
        <v>0.98693324891838996</v>
      </c>
      <c r="AM6" s="3">
        <v>0.9997446391549174</v>
      </c>
      <c r="AN6" s="3">
        <v>0.99291990139361941</v>
      </c>
      <c r="AO6" s="3">
        <v>0.968857133411132</v>
      </c>
      <c r="AP6" s="3">
        <v>0.99392274208771203</v>
      </c>
      <c r="AQ6" s="3">
        <v>0.99394443876561123</v>
      </c>
      <c r="AR6" s="3">
        <v>0.90277374511990316</v>
      </c>
      <c r="AS6" s="3">
        <v>0.99879076777694475</v>
      </c>
      <c r="AT6" s="3">
        <v>0.97494784723175321</v>
      </c>
      <c r="AU6" s="3">
        <v>0.86795877001852517</v>
      </c>
      <c r="AV6" s="3">
        <v>0.90123627280645335</v>
      </c>
      <c r="AW6" s="3">
        <v>0.3781857285783467</v>
      </c>
      <c r="AX6" s="3">
        <v>0.4847520278654876</v>
      </c>
      <c r="AY6" s="3">
        <v>0.81154391905035017</v>
      </c>
      <c r="AZ6" s="3">
        <v>0.48935903384049639</v>
      </c>
      <c r="BA6" s="3">
        <v>0.80004904955065881</v>
      </c>
      <c r="BB6" s="3">
        <v>0.95864830808915835</v>
      </c>
      <c r="BC6" s="3">
        <v>0.77406264345407161</v>
      </c>
      <c r="BD6" s="3">
        <v>-1.6352801990965879</v>
      </c>
      <c r="BE6" s="3">
        <v>0.5363113326707416</v>
      </c>
      <c r="BF6" s="3">
        <v>-0.44477047823405019</v>
      </c>
      <c r="BG6" s="3">
        <v>0.86678709713114854</v>
      </c>
      <c r="BH6" s="3">
        <v>0.99396305711064403</v>
      </c>
      <c r="BI6" s="3">
        <v>0.6719634086204157</v>
      </c>
      <c r="BJ6" s="3">
        <v>0.83667594042439752</v>
      </c>
      <c r="BK6" s="3">
        <v>0.97926953869035882</v>
      </c>
      <c r="BL6" s="3">
        <v>0.71144576132621939</v>
      </c>
      <c r="BM6" s="29">
        <f t="shared" si="0"/>
        <v>0.83731552192198766</v>
      </c>
      <c r="BN6" s="29">
        <f t="shared" si="1"/>
        <v>0.5223186960329006</v>
      </c>
      <c r="BO6" s="28">
        <f t="shared" si="2"/>
        <v>0.98828168222088641</v>
      </c>
    </row>
    <row r="7" spans="1:68" x14ac:dyDescent="0.25">
      <c r="A7" s="2" t="s">
        <v>63</v>
      </c>
      <c r="B7" s="2" t="s">
        <v>75</v>
      </c>
      <c r="C7" s="3">
        <v>1E-3</v>
      </c>
      <c r="D7" s="3">
        <v>0.1</v>
      </c>
      <c r="E7" s="2" t="s">
        <v>70</v>
      </c>
      <c r="F7" s="3">
        <v>1</v>
      </c>
      <c r="G7" s="2" t="s">
        <v>67</v>
      </c>
      <c r="H7" s="2" t="s">
        <v>71</v>
      </c>
      <c r="I7" s="2">
        <v>172</v>
      </c>
      <c r="J7" s="2">
        <v>178</v>
      </c>
      <c r="K7" s="2">
        <v>90</v>
      </c>
      <c r="L7" s="2">
        <v>0.52300000000000002</v>
      </c>
      <c r="M7" s="2">
        <v>1</v>
      </c>
      <c r="N7" s="2">
        <v>0</v>
      </c>
      <c r="O7" s="2">
        <v>10000</v>
      </c>
      <c r="P7" s="2">
        <v>9236</v>
      </c>
      <c r="Q7" s="4">
        <v>0.86923170834779739</v>
      </c>
      <c r="R7" s="4">
        <v>4.2993100360035799E-2</v>
      </c>
      <c r="S7" s="4">
        <v>1.514771777391434</v>
      </c>
      <c r="T7" s="4">
        <v>2.3573197113970899E-2</v>
      </c>
      <c r="U7" s="4">
        <v>0.92897763475775719</v>
      </c>
      <c r="V7" s="4">
        <v>6.9413972087203997E-3</v>
      </c>
      <c r="W7" s="5">
        <v>2037.9224768680001</v>
      </c>
      <c r="X7" s="5">
        <v>2002.673879062</v>
      </c>
      <c r="Y7" s="2">
        <v>0</v>
      </c>
      <c r="Z7" s="3">
        <v>0.10000000149011611</v>
      </c>
      <c r="AA7" s="3">
        <v>1.433238594472641E-8</v>
      </c>
      <c r="AB7" s="3">
        <v>0</v>
      </c>
      <c r="AC7" s="4">
        <v>1.3009127378463741</v>
      </c>
      <c r="AD7" s="4">
        <v>0.45842501521110529</v>
      </c>
      <c r="AE7" s="4">
        <v>4.8906464576721191</v>
      </c>
      <c r="AF7" s="4">
        <v>0.46003493666648859</v>
      </c>
      <c r="AG7" s="4">
        <v>0.46383973956108088</v>
      </c>
      <c r="AH7" s="3">
        <v>0.97654678708175402</v>
      </c>
      <c r="AI7" s="3">
        <v>0.99079080854015555</v>
      </c>
      <c r="AJ7" s="3">
        <v>0.9797238697225944</v>
      </c>
      <c r="AK7" s="3">
        <v>0.98755774275267683</v>
      </c>
      <c r="AL7" s="3">
        <v>0.98850285472235877</v>
      </c>
      <c r="AM7" s="3">
        <v>0.99704848922123424</v>
      </c>
      <c r="AN7" s="3">
        <v>0.98754273533905079</v>
      </c>
      <c r="AO7" s="3">
        <v>0.9609851557433664</v>
      </c>
      <c r="AP7" s="3">
        <v>0.98526859084945762</v>
      </c>
      <c r="AQ7" s="3">
        <v>0.98750124999617961</v>
      </c>
      <c r="AR7" s="3">
        <v>0.86750865094441576</v>
      </c>
      <c r="AS7" s="3">
        <v>0.9894205492388386</v>
      </c>
      <c r="AT7" s="3">
        <v>0.95029894458824438</v>
      </c>
      <c r="AU7" s="3">
        <v>0.89161109224785395</v>
      </c>
      <c r="AV7" s="3">
        <v>0.88189100092230244</v>
      </c>
      <c r="AW7" s="3">
        <v>0.35201822736462018</v>
      </c>
      <c r="AX7" s="3">
        <v>0.56718909055476996</v>
      </c>
      <c r="AY7" s="3">
        <v>0.78101505178186559</v>
      </c>
      <c r="AZ7" s="3">
        <v>0.61753959437387052</v>
      </c>
      <c r="BA7" s="3">
        <v>0.7378637963124911</v>
      </c>
      <c r="BB7" s="3">
        <v>0.93685518307543358</v>
      </c>
      <c r="BC7" s="3">
        <v>0.81787969371737568</v>
      </c>
      <c r="BD7" s="3">
        <v>7.7210139861324703E-2</v>
      </c>
      <c r="BE7" s="3">
        <v>0.48732302736985661</v>
      </c>
      <c r="BF7" s="3">
        <v>-0.17131768488941621</v>
      </c>
      <c r="BG7" s="3">
        <v>0.82077539822505496</v>
      </c>
      <c r="BH7" s="3">
        <v>0.97850415669460955</v>
      </c>
      <c r="BI7" s="3">
        <v>0.6995680563803468</v>
      </c>
      <c r="BJ7" s="3">
        <v>0.78166763451582555</v>
      </c>
      <c r="BK7" s="3">
        <v>0.96019010578592601</v>
      </c>
      <c r="BL7" s="3">
        <v>0.74936706645400686</v>
      </c>
      <c r="BM7" s="29">
        <f t="shared" si="0"/>
        <v>0.82212474421771253</v>
      </c>
      <c r="BN7" s="29">
        <f t="shared" si="1"/>
        <v>0.65610868734755601</v>
      </c>
      <c r="BO7" s="28">
        <f t="shared" si="2"/>
        <v>0.98499127743189718</v>
      </c>
    </row>
    <row r="8" spans="1:68" x14ac:dyDescent="0.25">
      <c r="A8" s="2" t="s">
        <v>63</v>
      </c>
      <c r="B8" s="2" t="s">
        <v>75</v>
      </c>
      <c r="C8" s="3">
        <v>1E-3</v>
      </c>
      <c r="D8" s="3">
        <v>0.1</v>
      </c>
      <c r="E8" s="2" t="s">
        <v>72</v>
      </c>
      <c r="F8" s="3">
        <v>1</v>
      </c>
      <c r="G8" s="2" t="s">
        <v>67</v>
      </c>
      <c r="H8" s="2" t="s">
        <v>73</v>
      </c>
      <c r="I8" s="2">
        <v>228</v>
      </c>
      <c r="J8" s="2">
        <v>234</v>
      </c>
      <c r="K8" s="2">
        <v>90</v>
      </c>
      <c r="L8" s="2">
        <v>0.39500000000000002</v>
      </c>
      <c r="M8" s="2">
        <v>1</v>
      </c>
      <c r="N8" s="2">
        <v>0</v>
      </c>
      <c r="O8" s="2">
        <v>10000</v>
      </c>
      <c r="P8" s="2">
        <v>9759</v>
      </c>
      <c r="Q8" s="4">
        <v>0.86930535733699799</v>
      </c>
      <c r="R8" s="4">
        <v>3.03813920666774E-2</v>
      </c>
      <c r="S8" s="4">
        <v>1.1239731192588811</v>
      </c>
      <c r="T8" s="4">
        <v>2.2741647747655701E-2</v>
      </c>
      <c r="U8" s="4">
        <v>0.96359802410006523</v>
      </c>
      <c r="V8" s="4">
        <v>4.1440953500567999E-3</v>
      </c>
      <c r="W8" s="5">
        <v>2181.6106127460012</v>
      </c>
      <c r="X8" s="5">
        <v>2128.136737876001</v>
      </c>
      <c r="Y8" s="2">
        <v>0</v>
      </c>
      <c r="Z8" s="3">
        <v>0.10000000149011611</v>
      </c>
      <c r="AA8" s="3">
        <v>1.1532335975061869E-8</v>
      </c>
      <c r="AB8" s="3">
        <v>-1.110684877403401E-10</v>
      </c>
      <c r="AC8" s="4">
        <v>0.86369287967681885</v>
      </c>
      <c r="AD8" s="4">
        <v>0.46627330780029291</v>
      </c>
      <c r="AE8" s="4">
        <v>3.3519828319549561</v>
      </c>
      <c r="AF8" s="4">
        <v>0.46533212065696711</v>
      </c>
      <c r="AG8" s="4">
        <v>0.47258445620536799</v>
      </c>
      <c r="AH8" s="3">
        <v>0.98223682712217564</v>
      </c>
      <c r="AI8" s="3">
        <v>0.98465603966087223</v>
      </c>
      <c r="AJ8" s="3">
        <v>0.98238244823579901</v>
      </c>
      <c r="AK8" s="3">
        <v>0.99467056691100442</v>
      </c>
      <c r="AL8" s="3">
        <v>0.98979905956496017</v>
      </c>
      <c r="AM8" s="3">
        <v>0.99576856953135495</v>
      </c>
      <c r="AN8" s="3">
        <v>0.99470384963388803</v>
      </c>
      <c r="AO8" s="3">
        <v>0.97514887331893363</v>
      </c>
      <c r="AP8" s="3">
        <v>0.98283859087935244</v>
      </c>
      <c r="AQ8" s="3">
        <v>0.99425211952599435</v>
      </c>
      <c r="AR8" s="3">
        <v>0.90408137395278521</v>
      </c>
      <c r="AS8" s="3">
        <v>0.98841969749154923</v>
      </c>
      <c r="AT8" s="3">
        <v>0.97129905262691485</v>
      </c>
      <c r="AU8" s="3">
        <v>0.88823869645328724</v>
      </c>
      <c r="AV8" s="3">
        <v>0.88674998132900384</v>
      </c>
      <c r="AW8" s="3">
        <v>0.32256949093623732</v>
      </c>
      <c r="AX8" s="3">
        <v>0.6443269833787616</v>
      </c>
      <c r="AY8" s="3">
        <v>0.80323328731712518</v>
      </c>
      <c r="AZ8" s="3">
        <v>0.790017042695767</v>
      </c>
      <c r="BA8" s="3">
        <v>0.78527578581297552</v>
      </c>
      <c r="BB8" s="3">
        <v>0.93034425319474123</v>
      </c>
      <c r="BC8" s="3">
        <v>0.76947993537554848</v>
      </c>
      <c r="BD8" s="3">
        <v>0.79513447829674</v>
      </c>
      <c r="BE8" s="3">
        <v>0.5350147530229985</v>
      </c>
      <c r="BF8" s="3">
        <v>0.22511801175510099</v>
      </c>
      <c r="BG8" s="3">
        <v>0.86290197520485357</v>
      </c>
      <c r="BH8" s="3">
        <v>0.97626505475339875</v>
      </c>
      <c r="BI8" s="3">
        <v>0.66010021326676238</v>
      </c>
      <c r="BJ8" s="3">
        <v>0.82695630942188236</v>
      </c>
      <c r="BK8" s="3">
        <v>0.95587230441852744</v>
      </c>
      <c r="BL8" s="3">
        <v>0.70302361046626671</v>
      </c>
      <c r="BM8" s="29">
        <f t="shared" si="0"/>
        <v>0.82689304879829617</v>
      </c>
      <c r="BN8" s="29">
        <f t="shared" si="1"/>
        <v>0.75087093322542986</v>
      </c>
      <c r="BO8" s="28">
        <f t="shared" si="2"/>
        <v>0.98824667969579549</v>
      </c>
    </row>
    <row r="9" spans="1:68" x14ac:dyDescent="0.25">
      <c r="A9" s="2" t="s">
        <v>63</v>
      </c>
      <c r="B9" s="2" t="s">
        <v>75</v>
      </c>
      <c r="C9" s="3">
        <v>1E-3</v>
      </c>
      <c r="D9" s="3">
        <v>0.1</v>
      </c>
      <c r="E9" s="2" t="s">
        <v>68</v>
      </c>
      <c r="F9" s="3">
        <v>1</v>
      </c>
      <c r="G9" s="2" t="s">
        <v>67</v>
      </c>
      <c r="H9" s="2" t="s">
        <v>69</v>
      </c>
      <c r="I9" s="2">
        <v>74</v>
      </c>
      <c r="J9" s="2">
        <v>80</v>
      </c>
      <c r="K9" s="2">
        <v>90</v>
      </c>
      <c r="L9" s="2">
        <v>1.216</v>
      </c>
      <c r="M9" s="2">
        <v>1</v>
      </c>
      <c r="N9" s="2">
        <v>0</v>
      </c>
      <c r="O9" s="2">
        <v>10000</v>
      </c>
      <c r="P9" s="2">
        <v>9536</v>
      </c>
      <c r="Q9" s="4">
        <v>1.0750390887260439</v>
      </c>
      <c r="R9" s="4">
        <v>3.8865065822998597E-2</v>
      </c>
      <c r="S9" s="4">
        <v>1.6061211764812471</v>
      </c>
      <c r="T9" s="4">
        <v>3.7628259509801802E-2</v>
      </c>
      <c r="U9" s="4">
        <v>1.3259575068950651</v>
      </c>
      <c r="V9" s="4">
        <v>4.6896771527825997E-3</v>
      </c>
      <c r="W9" s="5">
        <v>1896.0337784610001</v>
      </c>
      <c r="X9" s="5">
        <v>1887.594119534999</v>
      </c>
      <c r="Y9" s="2">
        <v>0</v>
      </c>
      <c r="Z9" s="3">
        <v>0.10000000149011611</v>
      </c>
      <c r="AA9" s="3">
        <v>6.0121578826510813E-9</v>
      </c>
      <c r="AB9" s="3">
        <v>0</v>
      </c>
      <c r="AC9" s="4">
        <v>1.747360825538635</v>
      </c>
      <c r="AD9" s="4">
        <v>0.2603056132793426</v>
      </c>
      <c r="AE9" s="4">
        <v>5.4830794334411621</v>
      </c>
      <c r="AF9" s="4">
        <v>0.28409489989280701</v>
      </c>
      <c r="AG9" s="4">
        <v>0.25576511025428772</v>
      </c>
      <c r="AH9" s="3">
        <v>0.97442752893277318</v>
      </c>
      <c r="AI9" s="3">
        <v>0.98653285244975297</v>
      </c>
      <c r="AJ9" s="3">
        <v>0.98768514745174518</v>
      </c>
      <c r="AK9" s="3">
        <v>0.98970523094035856</v>
      </c>
      <c r="AL9" s="3">
        <v>0.98041862146643544</v>
      </c>
      <c r="AM9" s="3">
        <v>0.99398713696040097</v>
      </c>
      <c r="AN9" s="3">
        <v>0.9893941903799004</v>
      </c>
      <c r="AO9" s="3">
        <v>0.96378402068886759</v>
      </c>
      <c r="AP9" s="3">
        <v>0.98489109342415782</v>
      </c>
      <c r="AQ9" s="3">
        <v>0.99268933867343623</v>
      </c>
      <c r="AR9" s="3">
        <v>0.87621471061173972</v>
      </c>
      <c r="AS9" s="3">
        <v>0.99449192543932263</v>
      </c>
      <c r="AT9" s="3">
        <v>0.92831190793901119</v>
      </c>
      <c r="AU9" s="3">
        <v>0.88436557221054568</v>
      </c>
      <c r="AV9" s="3">
        <v>0.84933777000642108</v>
      </c>
      <c r="AW9" s="3">
        <v>0.18596125946816441</v>
      </c>
      <c r="AX9" s="3">
        <v>0.58534521944456319</v>
      </c>
      <c r="AY9" s="3">
        <v>0.73956226456854923</v>
      </c>
      <c r="AZ9" s="3">
        <v>0.43449321850388822</v>
      </c>
      <c r="BA9" s="3">
        <v>0.75405906514440613</v>
      </c>
      <c r="BB9" s="3">
        <v>0.96622543432295438</v>
      </c>
      <c r="BC9" s="3">
        <v>0.98598696443364542</v>
      </c>
      <c r="BD9" s="3">
        <v>1.3312532535227101E-2</v>
      </c>
      <c r="BE9" s="3">
        <v>0.46086994479886301</v>
      </c>
      <c r="BF9" s="3">
        <v>-0.33829813664804642</v>
      </c>
      <c r="BG9" s="3">
        <v>0.83320955599758806</v>
      </c>
      <c r="BH9" s="3">
        <v>0.98943086440893124</v>
      </c>
      <c r="BI9" s="3">
        <v>0.86006636478605447</v>
      </c>
      <c r="BJ9" s="3">
        <v>0.79666252560237882</v>
      </c>
      <c r="BK9" s="3">
        <v>0.980296300744672</v>
      </c>
      <c r="BL9" s="3">
        <v>0.93401234093936036</v>
      </c>
      <c r="BM9" s="29">
        <f t="shared" si="0"/>
        <v>0.78644719094586746</v>
      </c>
      <c r="BN9" s="29">
        <f t="shared" si="1"/>
        <v>0.66634896397220233</v>
      </c>
      <c r="BO9" s="28">
        <f t="shared" si="2"/>
        <v>0.98545418138167262</v>
      </c>
    </row>
    <row r="10" spans="1:68" x14ac:dyDescent="0.25">
      <c r="A10" s="12" t="s">
        <v>63</v>
      </c>
      <c r="B10" s="13" t="s">
        <v>75</v>
      </c>
      <c r="C10" s="14">
        <v>0.01</v>
      </c>
      <c r="D10" s="14">
        <v>0.1</v>
      </c>
      <c r="E10" s="12" t="s">
        <v>68</v>
      </c>
      <c r="F10" s="14">
        <v>1</v>
      </c>
      <c r="G10" s="12" t="s">
        <v>65</v>
      </c>
      <c r="H10" s="12" t="s">
        <v>69</v>
      </c>
      <c r="I10" s="12">
        <v>74</v>
      </c>
      <c r="J10" s="12">
        <v>80</v>
      </c>
      <c r="K10" s="12">
        <v>90</v>
      </c>
      <c r="L10" s="12">
        <v>1.216</v>
      </c>
      <c r="M10" s="12">
        <v>1</v>
      </c>
      <c r="N10" s="12">
        <v>0</v>
      </c>
      <c r="O10" s="12">
        <v>10000</v>
      </c>
      <c r="P10" s="12">
        <v>29</v>
      </c>
      <c r="Q10" s="15">
        <v>1.983948826789856</v>
      </c>
      <c r="R10" s="15">
        <v>1.890572587649028</v>
      </c>
      <c r="S10" s="15">
        <v>2.8712380647659299</v>
      </c>
      <c r="T10" s="15">
        <v>6.7339065174261706E-2</v>
      </c>
      <c r="U10" s="15">
        <v>6.0762219429016113</v>
      </c>
      <c r="V10" s="15">
        <v>0.1692513972520828</v>
      </c>
      <c r="W10" s="16">
        <v>2160.8086699599999</v>
      </c>
      <c r="X10" s="16">
        <v>2335.730407178</v>
      </c>
      <c r="Y10" s="12">
        <v>0</v>
      </c>
      <c r="Z10" s="14">
        <v>0.10000000149011611</v>
      </c>
      <c r="AA10" s="14">
        <v>2.7362707442080141E-6</v>
      </c>
      <c r="AB10" s="14">
        <v>0</v>
      </c>
      <c r="AC10" s="15">
        <v>2.8447177410125728</v>
      </c>
      <c r="AD10" s="15">
        <v>2.2234988212585449</v>
      </c>
      <c r="AE10" s="15">
        <v>5.3346762657165527</v>
      </c>
      <c r="AF10" s="15">
        <v>1.892958283424377</v>
      </c>
      <c r="AG10" s="15">
        <v>2.060339212417603</v>
      </c>
      <c r="AH10" s="14">
        <v>0.4776287485528603</v>
      </c>
      <c r="AI10" s="14">
        <v>0.50621649365636856</v>
      </c>
      <c r="AJ10" s="14">
        <v>0.40611437061351691</v>
      </c>
      <c r="AK10" s="14">
        <v>0.38352927578890589</v>
      </c>
      <c r="AL10" s="14">
        <v>0.45816051291601512</v>
      </c>
      <c r="AM10" s="14">
        <v>0.24662826024053561</v>
      </c>
      <c r="AN10" s="14">
        <v>0.41118656749709009</v>
      </c>
      <c r="AO10" s="14">
        <v>0.45332051817960728</v>
      </c>
      <c r="AP10" s="14">
        <v>6.5713509594535105E-2</v>
      </c>
      <c r="AQ10" s="14">
        <v>0.3430193021176855</v>
      </c>
      <c r="AR10" s="14">
        <v>-4.9748922274509499E-2</v>
      </c>
      <c r="AS10" s="14">
        <v>0.4030826511251599</v>
      </c>
      <c r="AT10" s="14">
        <v>0.7528063650273642</v>
      </c>
      <c r="AU10" s="14">
        <v>-0.31111827693448108</v>
      </c>
      <c r="AV10" s="14">
        <v>0.92397725989955359</v>
      </c>
      <c r="AW10" s="14">
        <v>0.2476542308515419</v>
      </c>
      <c r="AX10" s="14">
        <v>-0.4269336555209044</v>
      </c>
      <c r="AY10" s="14">
        <v>0.84092349883562556</v>
      </c>
      <c r="AZ10" s="14">
        <v>6.0958202961273501E-2</v>
      </c>
      <c r="BA10" s="14">
        <v>5.4960743140301999E-2</v>
      </c>
      <c r="BB10" s="14">
        <v>-9.99024346586323E-2</v>
      </c>
      <c r="BC10" s="14">
        <v>0.27259111810445358</v>
      </c>
      <c r="BD10" s="14">
        <v>-0.52095374640449155</v>
      </c>
      <c r="BE10" s="14">
        <v>0.3705660075141014</v>
      </c>
      <c r="BF10" s="14">
        <v>-0.19057208183270569</v>
      </c>
      <c r="BG10" s="14">
        <v>-1.5620212593109299E-2</v>
      </c>
      <c r="BH10" s="14">
        <v>0.24291424226411479</v>
      </c>
      <c r="BI10" s="14">
        <v>0.46389324305680019</v>
      </c>
      <c r="BJ10" s="14">
        <v>2.5005630005820199E-2</v>
      </c>
      <c r="BK10" s="14">
        <v>6.5210946582396997E-2</v>
      </c>
      <c r="BL10" s="14">
        <v>0.36520296484672521</v>
      </c>
      <c r="BM10" s="29">
        <f t="shared" si="0"/>
        <v>0.32777555128243818</v>
      </c>
      <c r="BN10" s="29">
        <f t="shared" si="1"/>
        <v>0.10054963108678466</v>
      </c>
      <c r="BO10" s="28">
        <f t="shared" si="2"/>
        <v>0.36376542340047335</v>
      </c>
    </row>
    <row r="11" spans="1:68" x14ac:dyDescent="0.25">
      <c r="A11" s="2" t="s">
        <v>63</v>
      </c>
      <c r="B11" s="2" t="s">
        <v>75</v>
      </c>
      <c r="C11" s="3">
        <v>1E-3</v>
      </c>
      <c r="D11" s="3">
        <v>0.1</v>
      </c>
      <c r="E11" s="2" t="s">
        <v>64</v>
      </c>
      <c r="F11" s="3">
        <v>1</v>
      </c>
      <c r="G11" s="2" t="s">
        <v>65</v>
      </c>
      <c r="H11" s="2" t="s">
        <v>66</v>
      </c>
      <c r="I11" s="2">
        <v>44</v>
      </c>
      <c r="J11" s="2">
        <v>50</v>
      </c>
      <c r="K11" s="2">
        <v>90</v>
      </c>
      <c r="L11" s="2">
        <v>2.0449999999999999</v>
      </c>
      <c r="M11" s="2">
        <v>1</v>
      </c>
      <c r="N11" s="2">
        <v>0</v>
      </c>
      <c r="O11" s="2">
        <v>10000</v>
      </c>
      <c r="P11" s="2">
        <v>413</v>
      </c>
      <c r="Q11" s="4">
        <v>2.0431286692619319</v>
      </c>
      <c r="R11" s="4">
        <v>1.0646996100743611</v>
      </c>
      <c r="S11" s="4">
        <v>4.3406417369842529</v>
      </c>
      <c r="T11" s="4">
        <v>6.1809857686360603E-2</v>
      </c>
      <c r="U11" s="4">
        <v>6.0447824001312256</v>
      </c>
      <c r="V11" s="4">
        <v>5.33824600279331E-2</v>
      </c>
      <c r="W11" s="5">
        <v>1749.687926445001</v>
      </c>
      <c r="X11" s="5">
        <v>1933.9260275839999</v>
      </c>
      <c r="Y11" s="2">
        <v>0</v>
      </c>
      <c r="Z11" s="3">
        <v>0.10000000149011611</v>
      </c>
      <c r="AA11" s="3">
        <v>2.221687755081E-4</v>
      </c>
      <c r="AB11" s="3">
        <v>0</v>
      </c>
      <c r="AC11" s="4">
        <v>4.9295463562011719</v>
      </c>
      <c r="AD11" s="4">
        <v>2.5595993995666499</v>
      </c>
      <c r="AE11" s="4">
        <v>10.099019050598139</v>
      </c>
      <c r="AF11" s="4">
        <v>1.851018905639648</v>
      </c>
      <c r="AG11" s="4">
        <v>2.264024972915649</v>
      </c>
      <c r="AH11" s="3">
        <v>0.92690211631261599</v>
      </c>
      <c r="AI11" s="3">
        <v>0.94922771812814677</v>
      </c>
      <c r="AJ11" s="3">
        <v>0.94285055175603438</v>
      </c>
      <c r="AK11" s="3">
        <v>0.31495951997118088</v>
      </c>
      <c r="AL11" s="3">
        <v>0.96122723509274122</v>
      </c>
      <c r="AM11" s="3">
        <v>0.92974009338625718</v>
      </c>
      <c r="AN11" s="3">
        <v>0.33212513760707701</v>
      </c>
      <c r="AO11" s="3">
        <v>0.89010679883586763</v>
      </c>
      <c r="AP11" s="3">
        <v>0.88081302836751285</v>
      </c>
      <c r="AQ11" s="3">
        <v>0.3988694708567106</v>
      </c>
      <c r="AR11" s="3">
        <v>0.80160946494300644</v>
      </c>
      <c r="AS11" s="3">
        <v>0.80261392461075309</v>
      </c>
      <c r="AT11" s="3">
        <v>0.30615430516139758</v>
      </c>
      <c r="AU11" s="3">
        <v>0.31382918200251653</v>
      </c>
      <c r="AV11" s="3">
        <v>0.3792471807113566</v>
      </c>
      <c r="AW11" s="3">
        <v>0.1763534252348726</v>
      </c>
      <c r="AX11" s="3">
        <v>-0.26691811989471992</v>
      </c>
      <c r="AY11" s="3">
        <v>-0.43842028156591301</v>
      </c>
      <c r="AZ11" s="3">
        <v>-0.1517095347691646</v>
      </c>
      <c r="BA11" s="3">
        <v>0.43670856194209368</v>
      </c>
      <c r="BB11" s="3">
        <v>0.263025938099606</v>
      </c>
      <c r="BC11" s="3">
        <v>-0.63399068522429802</v>
      </c>
      <c r="BD11" s="3">
        <v>-1.227873121965386</v>
      </c>
      <c r="BE11" s="3">
        <v>-1.896677050808687</v>
      </c>
      <c r="BF11" s="3">
        <v>-0.31757739976175831</v>
      </c>
      <c r="BG11" s="3">
        <v>0.6814331926011743</v>
      </c>
      <c r="BH11" s="3">
        <v>0.64633370332649864</v>
      </c>
      <c r="BI11" s="3">
        <v>-0.36376875515551171</v>
      </c>
      <c r="BJ11" s="3">
        <v>0.5552945360678998</v>
      </c>
      <c r="BK11" s="3">
        <v>0.45661210481811149</v>
      </c>
      <c r="BL11" s="3">
        <v>-0.55624898939745004</v>
      </c>
      <c r="BM11" s="29">
        <f t="shared" si="0"/>
        <v>0.4633012471106504</v>
      </c>
      <c r="BN11" s="29">
        <f t="shared" si="1"/>
        <v>-0.18758506011250031</v>
      </c>
      <c r="BO11" s="28">
        <f t="shared" si="2"/>
        <v>0.73332439488905876</v>
      </c>
    </row>
    <row r="12" spans="1:68" x14ac:dyDescent="0.25">
      <c r="A12" s="2" t="s">
        <v>63</v>
      </c>
      <c r="B12" s="2" t="s">
        <v>75</v>
      </c>
      <c r="C12" s="3">
        <v>1E-3</v>
      </c>
      <c r="D12" s="3">
        <v>0.1</v>
      </c>
      <c r="E12" s="2" t="s">
        <v>72</v>
      </c>
      <c r="F12" s="3">
        <v>1</v>
      </c>
      <c r="G12" s="2" t="s">
        <v>65</v>
      </c>
      <c r="H12" s="2" t="s">
        <v>73</v>
      </c>
      <c r="I12" s="2">
        <v>228</v>
      </c>
      <c r="J12" s="2">
        <v>234</v>
      </c>
      <c r="K12" s="2">
        <v>90</v>
      </c>
      <c r="L12" s="2">
        <v>0.39500000000000002</v>
      </c>
      <c r="M12" s="2">
        <v>1</v>
      </c>
      <c r="N12" s="2">
        <v>0</v>
      </c>
      <c r="O12" s="2">
        <v>10000</v>
      </c>
      <c r="P12" s="2">
        <v>209</v>
      </c>
      <c r="Q12" s="4">
        <v>2.0961690545082088</v>
      </c>
      <c r="R12" s="4">
        <v>0.66976507504781091</v>
      </c>
      <c r="S12" s="4">
        <v>2.9092678666114811</v>
      </c>
      <c r="T12" s="4">
        <v>0.19320699075857789</v>
      </c>
      <c r="U12" s="4">
        <v>6.6804652214050293</v>
      </c>
      <c r="V12" s="4">
        <v>9.7339026629924705E-2</v>
      </c>
      <c r="W12" s="5">
        <v>2296.4642200320009</v>
      </c>
      <c r="X12" s="5">
        <v>2120.9756788509999</v>
      </c>
      <c r="Y12" s="2">
        <v>0</v>
      </c>
      <c r="Z12" s="3">
        <v>0.10000000149011611</v>
      </c>
      <c r="AA12" s="3">
        <v>1.53533853590488E-2</v>
      </c>
      <c r="AB12" s="3">
        <v>0</v>
      </c>
      <c r="AC12" s="4">
        <v>4.0333414077758789</v>
      </c>
      <c r="AD12" s="4">
        <v>1.3131235837936399</v>
      </c>
      <c r="AE12" s="4">
        <v>7.2193655967712402</v>
      </c>
      <c r="AF12" s="4">
        <v>0.89087074995040894</v>
      </c>
      <c r="AG12" s="4">
        <v>1.0896379947662349</v>
      </c>
      <c r="AH12" s="3">
        <v>0.66055320019911157</v>
      </c>
      <c r="AI12" s="3">
        <v>0.64342634364524243</v>
      </c>
      <c r="AJ12" s="3">
        <v>0.88498563951855702</v>
      </c>
      <c r="AK12" s="3">
        <v>0.75588689038163726</v>
      </c>
      <c r="AL12" s="3">
        <v>0.64227047114337243</v>
      </c>
      <c r="AM12" s="3">
        <v>0.82292002243466478</v>
      </c>
      <c r="AN12" s="3">
        <v>0.83760792742719137</v>
      </c>
      <c r="AO12" s="3">
        <v>0.66429582309752233</v>
      </c>
      <c r="AP12" s="3">
        <v>0.69018718578527682</v>
      </c>
      <c r="AQ12" s="3">
        <v>0.84063759474629962</v>
      </c>
      <c r="AR12" s="3">
        <v>0.38295806670652649</v>
      </c>
      <c r="AS12" s="3">
        <v>0.82165557514876786</v>
      </c>
      <c r="AT12" s="3">
        <v>0.84804805882310164</v>
      </c>
      <c r="AU12" s="3">
        <v>3.08422628940376E-2</v>
      </c>
      <c r="AV12" s="3">
        <v>0.7216973681639417</v>
      </c>
      <c r="AW12" s="3">
        <v>-0.20763861020153149</v>
      </c>
      <c r="AX12" s="3">
        <v>-0.12428367262750691</v>
      </c>
      <c r="AY12" s="3">
        <v>0.35989298911695577</v>
      </c>
      <c r="AZ12" s="3">
        <v>-0.25027197530768142</v>
      </c>
      <c r="BA12" s="3">
        <v>0.49590655263725691</v>
      </c>
      <c r="BB12" s="3">
        <v>0.43778068911885881</v>
      </c>
      <c r="BC12" s="3">
        <v>0.46932555501489293</v>
      </c>
      <c r="BD12" s="3">
        <v>-0.35554322895913287</v>
      </c>
      <c r="BE12" s="3">
        <v>-0.47423468961948417</v>
      </c>
      <c r="BF12" s="3">
        <v>-0.31111035451666091</v>
      </c>
      <c r="BG12" s="3">
        <v>0.42338609034513669</v>
      </c>
      <c r="BH12" s="3">
        <v>0.71487008396735963</v>
      </c>
      <c r="BI12" s="3">
        <v>0.78169063104787206</v>
      </c>
      <c r="BJ12" s="3">
        <v>0.46840014850578948</v>
      </c>
      <c r="BK12" s="3">
        <v>0.58118472341030969</v>
      </c>
      <c r="BL12" s="3">
        <v>0.63120251915081549</v>
      </c>
      <c r="BM12" s="29">
        <f t="shared" si="0"/>
        <v>0.43292712025580732</v>
      </c>
      <c r="BN12" s="29">
        <f t="shared" si="1"/>
        <v>0.2565464040856521</v>
      </c>
      <c r="BO12" s="28">
        <f t="shared" si="2"/>
        <v>0.75357976646441815</v>
      </c>
    </row>
    <row r="13" spans="1:68" x14ac:dyDescent="0.25">
      <c r="A13" s="2" t="s">
        <v>63</v>
      </c>
      <c r="B13" s="2" t="s">
        <v>75</v>
      </c>
      <c r="C13" s="3">
        <v>0.01</v>
      </c>
      <c r="D13" s="3">
        <v>0.1</v>
      </c>
      <c r="E13" s="2" t="s">
        <v>72</v>
      </c>
      <c r="F13" s="3">
        <v>1</v>
      </c>
      <c r="G13" s="2" t="s">
        <v>65</v>
      </c>
      <c r="H13" s="2" t="s">
        <v>73</v>
      </c>
      <c r="I13" s="2">
        <v>228</v>
      </c>
      <c r="J13" s="2">
        <v>234</v>
      </c>
      <c r="K13" s="2">
        <v>90</v>
      </c>
      <c r="L13" s="2">
        <v>0.39500000000000002</v>
      </c>
      <c r="M13" s="2">
        <v>1</v>
      </c>
      <c r="N13" s="2">
        <v>0</v>
      </c>
      <c r="O13" s="2">
        <v>10000</v>
      </c>
      <c r="P13" s="2">
        <v>60</v>
      </c>
      <c r="Q13" s="4">
        <v>2.1468375325202942</v>
      </c>
      <c r="R13" s="4">
        <v>1.3774140675862629</v>
      </c>
      <c r="S13" s="4">
        <v>2.9601844549179082</v>
      </c>
      <c r="T13" s="4">
        <v>8.1223001480102539</v>
      </c>
      <c r="U13" s="4">
        <v>7.547283411026001</v>
      </c>
      <c r="V13" s="4">
        <v>7.8244991600513403E-2</v>
      </c>
      <c r="W13" s="5">
        <v>2269.285618931</v>
      </c>
      <c r="X13" s="5">
        <v>1791.668071704001</v>
      </c>
      <c r="Y13" s="2">
        <v>0</v>
      </c>
      <c r="Z13" s="3">
        <v>0.10000000149011611</v>
      </c>
      <c r="AA13" s="3">
        <v>7.7760982094332576E-5</v>
      </c>
      <c r="AB13" s="3">
        <v>0</v>
      </c>
      <c r="AC13" s="4">
        <v>3.3299598693847661</v>
      </c>
      <c r="AD13" s="4">
        <v>1.647778391838074</v>
      </c>
      <c r="AE13" s="4">
        <v>6.8614554405212402</v>
      </c>
      <c r="AF13" s="4">
        <v>1.430324912071228</v>
      </c>
      <c r="AG13" s="4">
        <v>1.531403660774231</v>
      </c>
      <c r="AH13" s="3">
        <v>0.53360302350875766</v>
      </c>
      <c r="AI13" s="3">
        <v>0.51944480471650212</v>
      </c>
      <c r="AJ13" s="3">
        <v>0.70161779598471385</v>
      </c>
      <c r="AK13" s="3">
        <v>0.51985580834528533</v>
      </c>
      <c r="AL13" s="3">
        <v>0.63396206617839312</v>
      </c>
      <c r="AM13" s="3">
        <v>0.4921074410433221</v>
      </c>
      <c r="AN13" s="3">
        <v>0.47104615110869918</v>
      </c>
      <c r="AO13" s="3">
        <v>0.44879604710656817</v>
      </c>
      <c r="AP13" s="3">
        <v>0.47651560595636278</v>
      </c>
      <c r="AQ13" s="3">
        <v>0.57033541403831656</v>
      </c>
      <c r="AR13" s="3">
        <v>4.0427366647410997E-3</v>
      </c>
      <c r="AS13" s="3">
        <v>0.7396777632858319</v>
      </c>
      <c r="AT13" s="3">
        <v>0.66558886252454141</v>
      </c>
      <c r="AU13" s="3">
        <v>-0.16435054168071539</v>
      </c>
      <c r="AV13" s="3">
        <v>0.89604699997062831</v>
      </c>
      <c r="AW13" s="3">
        <v>-5.8059700738369996E-3</v>
      </c>
      <c r="AX13" s="3">
        <v>-0.1958368746255956</v>
      </c>
      <c r="AY13" s="3">
        <v>0.74243953690207765</v>
      </c>
      <c r="AZ13" s="3">
        <v>-0.14554351195031079</v>
      </c>
      <c r="BA13" s="3">
        <v>9.9674771951015401E-2</v>
      </c>
      <c r="BB13" s="3">
        <v>0.36772921920254709</v>
      </c>
      <c r="BC13" s="3">
        <v>0.5414601453869432</v>
      </c>
      <c r="BD13" s="3">
        <v>-0.33418437752571539</v>
      </c>
      <c r="BE13" s="3">
        <v>0.2834456278496521</v>
      </c>
      <c r="BF13" s="3">
        <v>-0.64136983580199725</v>
      </c>
      <c r="BG13" s="3">
        <v>3.3666677487123702E-2</v>
      </c>
      <c r="BH13" s="3">
        <v>0.63146010908709405</v>
      </c>
      <c r="BI13" s="3">
        <v>0.6217828386739862</v>
      </c>
      <c r="BJ13" s="3">
        <v>7.1750902799714605E-2</v>
      </c>
      <c r="BK13" s="3">
        <v>0.5014937336405938</v>
      </c>
      <c r="BL13" s="3">
        <v>0.58610163863058129</v>
      </c>
      <c r="BM13" s="29">
        <f t="shared" si="0"/>
        <v>0.35586664178186506</v>
      </c>
      <c r="BN13" s="29">
        <f t="shared" si="1"/>
        <v>0.2109380401138474</v>
      </c>
      <c r="BO13" s="28">
        <f t="shared" si="2"/>
        <v>0.5370756816086848</v>
      </c>
    </row>
    <row r="14" spans="1:68" x14ac:dyDescent="0.25">
      <c r="A14" s="2" t="s">
        <v>63</v>
      </c>
      <c r="B14" s="2" t="s">
        <v>75</v>
      </c>
      <c r="C14" s="3">
        <v>0.01</v>
      </c>
      <c r="D14" s="3">
        <v>0.1</v>
      </c>
      <c r="E14" s="2" t="s">
        <v>70</v>
      </c>
      <c r="F14" s="3">
        <v>1</v>
      </c>
      <c r="G14" s="2" t="s">
        <v>65</v>
      </c>
      <c r="H14" s="2" t="s">
        <v>71</v>
      </c>
      <c r="I14" s="2">
        <v>172</v>
      </c>
      <c r="J14" s="2">
        <v>178</v>
      </c>
      <c r="K14" s="2">
        <v>90</v>
      </c>
      <c r="L14" s="2">
        <v>0.52300000000000002</v>
      </c>
      <c r="M14" s="2">
        <v>1</v>
      </c>
      <c r="N14" s="2">
        <v>1</v>
      </c>
      <c r="O14" s="2">
        <v>4720</v>
      </c>
      <c r="P14" s="2">
        <v>24</v>
      </c>
      <c r="Q14" s="4">
        <v>2.6051129102706909</v>
      </c>
      <c r="R14" s="4">
        <v>1.9143335024515791</v>
      </c>
      <c r="S14" s="4">
        <v>2.9233977794647221</v>
      </c>
      <c r="T14" s="4"/>
      <c r="U14" s="4"/>
      <c r="V14" s="4">
        <v>0.18501678109169001</v>
      </c>
      <c r="W14" s="5">
        <v>993.10008879400004</v>
      </c>
      <c r="X14" s="5">
        <v>1057.89501591</v>
      </c>
      <c r="Y14" s="2">
        <v>0</v>
      </c>
      <c r="Z14" s="3">
        <v>0.10000000149011611</v>
      </c>
      <c r="AA14" s="3">
        <v>1.776129465724807E-6</v>
      </c>
      <c r="AB14" s="3">
        <v>0</v>
      </c>
      <c r="AC14" s="4">
        <v>3.388441801071167</v>
      </c>
      <c r="AD14" s="4">
        <v>1.973788857460022</v>
      </c>
      <c r="AE14" s="4">
        <v>5.4866814613342294</v>
      </c>
      <c r="AF14" s="4">
        <v>1.8579559326171879</v>
      </c>
      <c r="AG14" s="4">
        <v>1.9101208448410041</v>
      </c>
      <c r="AH14" s="3">
        <v>0.35717178181909948</v>
      </c>
      <c r="AI14" s="3">
        <v>0.43264979471023829</v>
      </c>
      <c r="AJ14" s="3">
        <v>0.50128194591888331</v>
      </c>
      <c r="AK14" s="3">
        <v>0.25113687716092292</v>
      </c>
      <c r="AL14" s="3">
        <v>0.42642609840462359</v>
      </c>
      <c r="AM14" s="3">
        <v>0.36204278140441759</v>
      </c>
      <c r="AN14" s="3">
        <v>0.31276346754845119</v>
      </c>
      <c r="AO14" s="3">
        <v>0.2457942799239434</v>
      </c>
      <c r="AP14" s="3">
        <v>0.3292523174737077</v>
      </c>
      <c r="AQ14" s="3">
        <v>0.40535357292471119</v>
      </c>
      <c r="AR14" s="3">
        <v>-0.28967541469047892</v>
      </c>
      <c r="AS14" s="3">
        <v>0.67636718577064414</v>
      </c>
      <c r="AT14" s="3">
        <v>0.4353932012839643</v>
      </c>
      <c r="AU14" s="3">
        <v>-0.51077776900491378</v>
      </c>
      <c r="AV14" s="3">
        <v>0.90812174292084036</v>
      </c>
      <c r="AW14" s="3">
        <v>-7.3271558023926001E-2</v>
      </c>
      <c r="AX14" s="3">
        <v>-0.51834119548443747</v>
      </c>
      <c r="AY14" s="3">
        <v>0.80685631774210753</v>
      </c>
      <c r="AZ14" s="3">
        <v>-0.1504954088872239</v>
      </c>
      <c r="BA14" s="3">
        <v>-0.16094456616837119</v>
      </c>
      <c r="BB14" s="3">
        <v>0.28923166666373029</v>
      </c>
      <c r="BC14" s="3">
        <v>0.50068047139028238</v>
      </c>
      <c r="BD14" s="3">
        <v>-0.4526076985968841</v>
      </c>
      <c r="BE14" s="3">
        <v>0.4693568005689413</v>
      </c>
      <c r="BF14" s="3">
        <v>-0.30260673556999462</v>
      </c>
      <c r="BG14" s="3">
        <v>-0.2480412476516442</v>
      </c>
      <c r="BH14" s="3">
        <v>0.56170149410305281</v>
      </c>
      <c r="BI14" s="3">
        <v>0.4745127436972772</v>
      </c>
      <c r="BJ14" s="3">
        <v>-0.20042416141512889</v>
      </c>
      <c r="BK14" s="3">
        <v>0.42614037306647817</v>
      </c>
      <c r="BL14" s="3">
        <v>0.49160378967749141</v>
      </c>
      <c r="BM14" s="29">
        <f t="shared" si="0"/>
        <v>0.19102623137602168</v>
      </c>
      <c r="BN14" s="29">
        <f t="shared" si="1"/>
        <v>0.13244150954237843</v>
      </c>
      <c r="BO14" s="28">
        <f t="shared" si="2"/>
        <v>0.36296679282998873</v>
      </c>
    </row>
    <row r="15" spans="1:68" s="6" customFormat="1" x14ac:dyDescent="0.25">
      <c r="A15" s="2" t="s">
        <v>63</v>
      </c>
      <c r="B15" s="2" t="s">
        <v>75</v>
      </c>
      <c r="C15" s="3">
        <v>1E-3</v>
      </c>
      <c r="D15" s="3">
        <v>0.1</v>
      </c>
      <c r="E15" s="2" t="s">
        <v>70</v>
      </c>
      <c r="F15" s="3">
        <v>1</v>
      </c>
      <c r="G15" s="2" t="s">
        <v>65</v>
      </c>
      <c r="H15" s="2" t="s">
        <v>71</v>
      </c>
      <c r="I15" s="2">
        <v>172</v>
      </c>
      <c r="J15" s="2">
        <v>178</v>
      </c>
      <c r="K15" s="2">
        <v>90</v>
      </c>
      <c r="L15" s="2">
        <v>0.52300000000000002</v>
      </c>
      <c r="M15" s="2">
        <v>1</v>
      </c>
      <c r="N15" s="2">
        <v>1</v>
      </c>
      <c r="O15" s="2">
        <v>6481</v>
      </c>
      <c r="P15" s="2">
        <v>136</v>
      </c>
      <c r="Q15" s="4">
        <v>2.723321139812469</v>
      </c>
      <c r="R15" s="4">
        <v>0.75591693321863807</v>
      </c>
      <c r="S15" s="4">
        <v>2.698013043403626</v>
      </c>
      <c r="T15" s="4"/>
      <c r="U15" s="4"/>
      <c r="V15" s="4">
        <v>0.12603622674942011</v>
      </c>
      <c r="W15" s="5">
        <v>1392.0912740890001</v>
      </c>
      <c r="X15" s="5">
        <v>1408.5976861600011</v>
      </c>
      <c r="Y15" s="2">
        <v>0</v>
      </c>
      <c r="Z15" s="3">
        <v>0.10000000149011611</v>
      </c>
      <c r="AA15" s="3">
        <v>1.9985600374639E-3</v>
      </c>
      <c r="AB15" s="3">
        <v>0</v>
      </c>
      <c r="AC15" s="4">
        <v>4.0133795738220206</v>
      </c>
      <c r="AD15" s="4">
        <v>1.06549084186554</v>
      </c>
      <c r="AE15" s="4">
        <v>6.4358153343200684</v>
      </c>
      <c r="AF15" s="4">
        <v>0.97644501924514759</v>
      </c>
      <c r="AG15" s="4">
        <v>0.99893444776535045</v>
      </c>
      <c r="AH15" s="3">
        <v>0.48911841430573161</v>
      </c>
      <c r="AI15" s="3">
        <v>0.44052343437935498</v>
      </c>
      <c r="AJ15" s="3">
        <v>0.86734548142956758</v>
      </c>
      <c r="AK15" s="3">
        <v>0.79340979754833962</v>
      </c>
      <c r="AL15" s="3">
        <v>0.48989675577209651</v>
      </c>
      <c r="AM15" s="3">
        <v>0.79599976170612496</v>
      </c>
      <c r="AN15" s="3">
        <v>0.84524450956379193</v>
      </c>
      <c r="AO15" s="3">
        <v>0.4854221238866584</v>
      </c>
      <c r="AP15" s="3">
        <v>0.70507861880454448</v>
      </c>
      <c r="AQ15" s="3">
        <v>0.87656126390100286</v>
      </c>
      <c r="AR15" s="3">
        <v>4.05037837281636E-2</v>
      </c>
      <c r="AS15" s="3">
        <v>0.87557956011825888</v>
      </c>
      <c r="AT15" s="3">
        <v>0.54027337890359206</v>
      </c>
      <c r="AU15" s="3">
        <v>-0.32652189234833151</v>
      </c>
      <c r="AV15" s="3">
        <v>0.69974657773311377</v>
      </c>
      <c r="AW15" s="3">
        <v>-0.38431444240645679</v>
      </c>
      <c r="AX15" s="3">
        <v>-0.40149164151810912</v>
      </c>
      <c r="AY15" s="3">
        <v>0.40651317340277088</v>
      </c>
      <c r="AZ15" s="3">
        <v>-0.21704192144029699</v>
      </c>
      <c r="BA15" s="3">
        <v>0.24515870907591419</v>
      </c>
      <c r="BB15" s="3">
        <v>0.58078286335781337</v>
      </c>
      <c r="BC15" s="3">
        <v>0.87065455292848926</v>
      </c>
      <c r="BD15" s="3">
        <v>-0.44163289505285269</v>
      </c>
      <c r="BE15" s="3">
        <v>-0.17279205851202259</v>
      </c>
      <c r="BF15" s="3">
        <v>-0.23040414692236069</v>
      </c>
      <c r="BG15" s="3">
        <v>0.1075991116681871</v>
      </c>
      <c r="BH15" s="3">
        <v>0.8026386689496674</v>
      </c>
      <c r="BI15" s="3">
        <v>0.90101970754496319</v>
      </c>
      <c r="BJ15" s="3">
        <v>0.18328370830006499</v>
      </c>
      <c r="BK15" s="3">
        <v>0.70069071468526767</v>
      </c>
      <c r="BL15" s="3">
        <v>0.90130716860226001</v>
      </c>
      <c r="BM15" s="29">
        <f t="shared" si="0"/>
        <v>0.24087782762138998</v>
      </c>
      <c r="BN15" s="29">
        <f t="shared" si="1"/>
        <v>0.28241904767131704</v>
      </c>
      <c r="BO15" s="28">
        <f t="shared" si="2"/>
        <v>0.69994241633238685</v>
      </c>
    </row>
    <row r="16" spans="1:68" x14ac:dyDescent="0.25">
      <c r="A16" s="2" t="s">
        <v>63</v>
      </c>
      <c r="B16" s="2" t="s">
        <v>75</v>
      </c>
      <c r="C16" s="3">
        <v>0.01</v>
      </c>
      <c r="D16" s="3">
        <v>0.1</v>
      </c>
      <c r="E16" s="2" t="s">
        <v>64</v>
      </c>
      <c r="F16" s="3">
        <v>1</v>
      </c>
      <c r="G16" s="2" t="s">
        <v>65</v>
      </c>
      <c r="H16" s="2" t="s">
        <v>66</v>
      </c>
      <c r="I16" s="2">
        <v>44</v>
      </c>
      <c r="J16" s="2">
        <v>50</v>
      </c>
      <c r="K16" s="2">
        <v>90</v>
      </c>
      <c r="L16" s="2">
        <v>2.0449999999999999</v>
      </c>
      <c r="M16" s="2">
        <v>1</v>
      </c>
      <c r="N16" s="2">
        <v>1</v>
      </c>
      <c r="O16" s="2">
        <v>370</v>
      </c>
      <c r="P16" s="2">
        <v>339</v>
      </c>
      <c r="Q16" s="4">
        <v>3.2667300701141362</v>
      </c>
      <c r="R16" s="4">
        <v>2.7491842905680342</v>
      </c>
      <c r="S16" s="4"/>
      <c r="T16" s="4">
        <v>2.6771458784739171</v>
      </c>
      <c r="U16" s="4"/>
      <c r="V16" s="4">
        <v>9.11288112401962E-2</v>
      </c>
      <c r="W16" s="5">
        <v>70.660994443999996</v>
      </c>
      <c r="X16" s="5">
        <v>60.294523596999973</v>
      </c>
      <c r="Y16" s="2">
        <v>0</v>
      </c>
      <c r="Z16" s="3">
        <v>8.2862161099910694E-2</v>
      </c>
      <c r="AA16" s="3">
        <v>1.3253459474070001E-4</v>
      </c>
      <c r="AB16" s="3">
        <v>0</v>
      </c>
      <c r="AC16" s="4">
        <v>4.2630558013916016</v>
      </c>
      <c r="AD16" s="4"/>
      <c r="AE16" s="4">
        <v>6.9052553176879883</v>
      </c>
      <c r="AF16" s="4">
        <v>2.5415840148925781</v>
      </c>
      <c r="AG16" s="4">
        <v>2.962187767028809</v>
      </c>
      <c r="AH16" s="3">
        <v>0.75345123003251735</v>
      </c>
      <c r="AI16" s="3">
        <v>0.75346131307672237</v>
      </c>
      <c r="AJ16" s="3">
        <v>0.89231963967568906</v>
      </c>
      <c r="AK16" s="3">
        <v>-0.68665839312245858</v>
      </c>
      <c r="AL16" s="3">
        <v>0.700101514870761</v>
      </c>
      <c r="AM16" s="3">
        <v>0.88821209566771531</v>
      </c>
      <c r="AN16" s="3">
        <v>-0.68361309402197157</v>
      </c>
      <c r="AO16" s="3">
        <v>0.77810906666805413</v>
      </c>
      <c r="AP16" s="3">
        <v>0.78426800775947214</v>
      </c>
      <c r="AQ16" s="3">
        <v>-0.68295573729698633</v>
      </c>
      <c r="AR16" s="3">
        <v>0.88734113488228261</v>
      </c>
      <c r="AS16" s="3">
        <v>0.55534638437256256</v>
      </c>
      <c r="AT16" s="3">
        <v>-0.69276742210518183</v>
      </c>
      <c r="AU16" s="3">
        <v>0.1101904562302559</v>
      </c>
      <c r="AV16" s="3">
        <v>0.90496633413417682</v>
      </c>
      <c r="AW16" s="3">
        <v>-0.4738888033165129</v>
      </c>
      <c r="AX16" s="3">
        <v>-0.38535355028542218</v>
      </c>
      <c r="AY16" s="3">
        <v>0.61150821676269529</v>
      </c>
      <c r="AZ16" s="3">
        <v>-0.45846388198311172</v>
      </c>
      <c r="BA16" s="3">
        <v>-13.607598230909369</v>
      </c>
      <c r="BB16" s="3">
        <v>-0.17704297020201881</v>
      </c>
      <c r="BC16" s="3">
        <v>-1.2652391272639849</v>
      </c>
      <c r="BD16" s="3">
        <v>-1.111957914515358</v>
      </c>
      <c r="BE16" s="3">
        <v>-0.17586373208988479</v>
      </c>
      <c r="BF16" s="3">
        <v>-0.31757739976175831</v>
      </c>
      <c r="BG16" s="3">
        <v>0.83298641524900696</v>
      </c>
      <c r="BH16" s="3">
        <v>0.39043595881796278</v>
      </c>
      <c r="BI16" s="3">
        <v>-1.015202371262141</v>
      </c>
      <c r="BJ16" s="3">
        <v>0.4421129383832712</v>
      </c>
      <c r="BK16" s="3">
        <v>0.2160531201671082</v>
      </c>
      <c r="BL16" s="3">
        <v>-1.011775577758905</v>
      </c>
      <c r="BM16" s="29">
        <f t="shared" si="0"/>
        <v>0.21519801403293051</v>
      </c>
      <c r="BN16" s="29">
        <f t="shared" si="1"/>
        <v>-1.1355318737767939</v>
      </c>
      <c r="BO16" s="28">
        <f t="shared" si="2"/>
        <v>0.30480493480855525</v>
      </c>
    </row>
    <row r="17" spans="1:68" x14ac:dyDescent="0.25">
      <c r="A17" s="2" t="s">
        <v>63</v>
      </c>
      <c r="B17" s="2" t="s">
        <v>75</v>
      </c>
      <c r="C17" s="3">
        <v>1E-3</v>
      </c>
      <c r="D17" s="3">
        <v>0.1</v>
      </c>
      <c r="E17" s="2" t="s">
        <v>68</v>
      </c>
      <c r="F17" s="3">
        <v>1</v>
      </c>
      <c r="G17" s="2" t="s">
        <v>65</v>
      </c>
      <c r="H17" s="2" t="s">
        <v>69</v>
      </c>
      <c r="I17" s="2">
        <v>74</v>
      </c>
      <c r="J17" s="2">
        <v>80</v>
      </c>
      <c r="K17" s="2">
        <v>90</v>
      </c>
      <c r="L17" s="2">
        <v>1.216</v>
      </c>
      <c r="M17" s="2">
        <v>1</v>
      </c>
      <c r="N17" s="2">
        <v>1</v>
      </c>
      <c r="O17" s="2">
        <v>9296</v>
      </c>
      <c r="P17" s="2">
        <v>132</v>
      </c>
      <c r="Q17" s="4">
        <v>3.3577688932418819</v>
      </c>
      <c r="R17" s="4">
        <v>0.78964322805404663</v>
      </c>
      <c r="S17" s="4">
        <v>3.4634981870651251</v>
      </c>
      <c r="T17" s="4"/>
      <c r="U17" s="4"/>
      <c r="V17" s="4">
        <v>0.1552741080522537</v>
      </c>
      <c r="W17" s="5">
        <v>1846.177416319</v>
      </c>
      <c r="X17" s="5">
        <v>1958.3360888129989</v>
      </c>
      <c r="Y17" s="2">
        <v>0</v>
      </c>
      <c r="Z17" s="3">
        <v>0.10000000149011611</v>
      </c>
      <c r="AA17" s="3">
        <v>1.186063891509E-4</v>
      </c>
      <c r="AB17" s="3">
        <v>0</v>
      </c>
      <c r="AC17" s="4">
        <v>4.9308619499206543</v>
      </c>
      <c r="AD17" s="4">
        <v>1.1281038522720339</v>
      </c>
      <c r="AE17" s="4">
        <v>9.0081148147583008</v>
      </c>
      <c r="AF17" s="4">
        <v>1.1383974552154541</v>
      </c>
      <c r="AG17" s="4">
        <v>1.1120128631591799</v>
      </c>
      <c r="AH17" s="3">
        <v>0.49673511465024611</v>
      </c>
      <c r="AI17" s="3">
        <v>0.42195286669110299</v>
      </c>
      <c r="AJ17" s="3">
        <v>0.85730494427617243</v>
      </c>
      <c r="AK17" s="3">
        <v>0.78046678591669438</v>
      </c>
      <c r="AL17" s="3">
        <v>0.50024984189270594</v>
      </c>
      <c r="AM17" s="3">
        <v>0.76366817667338827</v>
      </c>
      <c r="AN17" s="3">
        <v>0.83721898026927699</v>
      </c>
      <c r="AO17" s="3">
        <v>0.50303776731471506</v>
      </c>
      <c r="AP17" s="3">
        <v>0.67446349900151503</v>
      </c>
      <c r="AQ17" s="3">
        <v>0.86331646633559522</v>
      </c>
      <c r="AR17" s="3">
        <v>-8.9180043155536903E-2</v>
      </c>
      <c r="AS17" s="3">
        <v>0.90026606552870025</v>
      </c>
      <c r="AT17" s="3">
        <v>0.25865686512282071</v>
      </c>
      <c r="AU17" s="3">
        <v>-0.35089256988932038</v>
      </c>
      <c r="AV17" s="3">
        <v>0.685000544200699</v>
      </c>
      <c r="AW17" s="3">
        <v>-0.73962042542071371</v>
      </c>
      <c r="AX17" s="3">
        <v>-0.3916036264982361</v>
      </c>
      <c r="AY17" s="3">
        <v>0.4100752837740394</v>
      </c>
      <c r="AZ17" s="3">
        <v>-0.64169160576844053</v>
      </c>
      <c r="BA17" s="3">
        <v>7.4290371151578993E-2</v>
      </c>
      <c r="BB17" s="3">
        <v>0.67068873524239558</v>
      </c>
      <c r="BC17" s="3">
        <v>0.9146474496511886</v>
      </c>
      <c r="BD17" s="3">
        <v>-0.44912340388796518</v>
      </c>
      <c r="BE17" s="3">
        <v>-0.17892994107988139</v>
      </c>
      <c r="BF17" s="3">
        <v>-1.043056003768652</v>
      </c>
      <c r="BG17" s="3">
        <v>-3.6824945641615203E-2</v>
      </c>
      <c r="BH17" s="3">
        <v>0.84761818569409197</v>
      </c>
      <c r="BI17" s="3">
        <v>0.82754875657773008</v>
      </c>
      <c r="BJ17" s="3">
        <v>2.40335363781496E-2</v>
      </c>
      <c r="BK17" s="3">
        <v>0.76912509095759796</v>
      </c>
      <c r="BL17" s="3">
        <v>0.88545054202533735</v>
      </c>
      <c r="BM17" s="29">
        <f t="shared" si="0"/>
        <v>0.11070507273110815</v>
      </c>
      <c r="BN17" s="29">
        <f t="shared" si="1"/>
        <v>0.17881656165382126</v>
      </c>
      <c r="BO17" s="28">
        <f t="shared" si="2"/>
        <v>0.6890754809301296</v>
      </c>
    </row>
    <row r="18" spans="1:68" s="23" customFormat="1" x14ac:dyDescent="0.25">
      <c r="A18" s="18" t="s">
        <v>63</v>
      </c>
      <c r="B18" s="19" t="s">
        <v>76</v>
      </c>
      <c r="C18" s="20">
        <v>0.01</v>
      </c>
      <c r="D18" s="20">
        <v>0.1</v>
      </c>
      <c r="E18" s="18" t="s">
        <v>68</v>
      </c>
      <c r="F18" s="20">
        <v>1</v>
      </c>
      <c r="G18" s="18" t="s">
        <v>67</v>
      </c>
      <c r="H18" s="18" t="s">
        <v>69</v>
      </c>
      <c r="I18" s="18">
        <v>74</v>
      </c>
      <c r="J18" s="18">
        <v>80</v>
      </c>
      <c r="K18" s="18">
        <v>90</v>
      </c>
      <c r="L18" s="18">
        <v>1.216</v>
      </c>
      <c r="M18" s="18">
        <v>1</v>
      </c>
      <c r="N18" s="18">
        <v>1</v>
      </c>
      <c r="O18" s="18">
        <v>3756</v>
      </c>
      <c r="P18" s="18">
        <v>2216</v>
      </c>
      <c r="Q18" s="21">
        <v>0.204502448439598</v>
      </c>
      <c r="R18" s="21">
        <v>0.81681108474731445</v>
      </c>
      <c r="S18" s="21">
        <v>1.352346193790436</v>
      </c>
      <c r="T18" s="21">
        <v>1651616768.4039969</v>
      </c>
      <c r="U18" s="21">
        <v>1.1174634695053101</v>
      </c>
      <c r="V18" s="21">
        <v>4.5404847711324602E-2</v>
      </c>
      <c r="W18" s="22">
        <v>44.965649515000003</v>
      </c>
      <c r="X18" s="22">
        <v>294.92064667600022</v>
      </c>
      <c r="Y18" s="18">
        <v>0</v>
      </c>
      <c r="Z18" s="20">
        <v>9.8075330257415702E-2</v>
      </c>
      <c r="AA18" s="20">
        <v>-1.776893441274296E-7</v>
      </c>
      <c r="AB18" s="20">
        <v>-2.0092228680823609E-7</v>
      </c>
      <c r="AC18" s="21">
        <v>0.4286201000213623</v>
      </c>
      <c r="AD18" s="21">
        <v>0.98372882604598999</v>
      </c>
      <c r="AE18" s="21">
        <v>3.6354176998138419</v>
      </c>
      <c r="AF18" s="21">
        <v>0.81251257658004761</v>
      </c>
      <c r="AG18" s="21">
        <v>0.90145176649093639</v>
      </c>
      <c r="AH18" s="20">
        <v>0.94709110206659475</v>
      </c>
      <c r="AI18" s="20">
        <v>0.96707713912689419</v>
      </c>
      <c r="AJ18" s="20">
        <v>0.95026788912688243</v>
      </c>
      <c r="AK18" s="20">
        <v>0.40684146848348512</v>
      </c>
      <c r="AL18" s="20">
        <v>0.96652310064702862</v>
      </c>
      <c r="AM18" s="20">
        <v>0.95574390735960879</v>
      </c>
      <c r="AN18" s="20">
        <v>0.83090780846789025</v>
      </c>
      <c r="AO18" s="20">
        <v>0.9224796494072196</v>
      </c>
      <c r="AP18" s="20">
        <v>0.78365826909988567</v>
      </c>
      <c r="AQ18" s="20">
        <v>0.32305368976686499</v>
      </c>
      <c r="AR18" s="20">
        <v>0.83416187053502522</v>
      </c>
      <c r="AS18" s="20">
        <v>0.86776971970441419</v>
      </c>
      <c r="AT18" s="20">
        <v>0.97201534553877278</v>
      </c>
      <c r="AU18" s="20">
        <v>0.84244123985066566</v>
      </c>
      <c r="AV18" s="20">
        <v>0.99874189218023635</v>
      </c>
      <c r="AW18" s="20">
        <v>0.97232898188904915</v>
      </c>
      <c r="AX18" s="20">
        <v>0.248931290678613</v>
      </c>
      <c r="AY18" s="20">
        <v>0.95992477804532184</v>
      </c>
      <c r="AZ18" s="20">
        <v>0.9693070945642932</v>
      </c>
      <c r="BA18" s="20">
        <v>0.68405626495884664</v>
      </c>
      <c r="BB18" s="20">
        <v>0.7259350531538139</v>
      </c>
      <c r="BC18" s="20">
        <v>0.45949573123023513</v>
      </c>
      <c r="BD18" s="20">
        <v>-2.413993980858177</v>
      </c>
      <c r="BE18" s="20">
        <v>0.78553570792978389</v>
      </c>
      <c r="BF18" s="20">
        <v>0.27677057718599768</v>
      </c>
      <c r="BG18" s="20">
        <v>0.77720604392559012</v>
      </c>
      <c r="BH18" s="20">
        <v>0.82894362835038415</v>
      </c>
      <c r="BI18" s="20">
        <v>0.48255608431278418</v>
      </c>
      <c r="BJ18" s="20">
        <v>0.73259806676197403</v>
      </c>
      <c r="BK18" s="20">
        <v>0.77829547346168571</v>
      </c>
      <c r="BL18" s="20">
        <v>0.46387905782829347</v>
      </c>
      <c r="BM18" s="29">
        <f t="shared" si="0"/>
        <v>0.91457650828302717</v>
      </c>
      <c r="BN18" s="29">
        <f t="shared" si="1"/>
        <v>0.45062939143529601</v>
      </c>
      <c r="BO18" s="28">
        <f t="shared" si="2"/>
        <v>0.78961699127619545</v>
      </c>
      <c r="BP18" s="24"/>
    </row>
    <row r="19" spans="1:68" s="6" customFormat="1" x14ac:dyDescent="0.25">
      <c r="A19" s="2" t="s">
        <v>63</v>
      </c>
      <c r="B19" s="13" t="s">
        <v>76</v>
      </c>
      <c r="C19" s="3">
        <v>1E-3</v>
      </c>
      <c r="D19" s="3">
        <v>0.1</v>
      </c>
      <c r="E19" s="2" t="s">
        <v>64</v>
      </c>
      <c r="F19" s="3">
        <v>1</v>
      </c>
      <c r="G19" s="2" t="s">
        <v>67</v>
      </c>
      <c r="H19" s="2" t="s">
        <v>66</v>
      </c>
      <c r="I19" s="2">
        <v>44</v>
      </c>
      <c r="J19" s="2">
        <v>50</v>
      </c>
      <c r="K19" s="2">
        <v>90</v>
      </c>
      <c r="L19" s="2">
        <v>2.0449999999999999</v>
      </c>
      <c r="M19" s="2">
        <v>1</v>
      </c>
      <c r="N19" s="2">
        <v>0</v>
      </c>
      <c r="O19" s="2">
        <v>10000</v>
      </c>
      <c r="P19" s="2">
        <v>9454</v>
      </c>
      <c r="Q19" s="4">
        <v>0.23491380363702771</v>
      </c>
      <c r="R19" s="4">
        <v>5.63246551901102E-2</v>
      </c>
      <c r="S19" s="4">
        <v>1.585902720689774</v>
      </c>
      <c r="T19" s="4">
        <v>3.70037617782751E-2</v>
      </c>
      <c r="U19" s="4">
        <v>0.87839359045028687</v>
      </c>
      <c r="V19" s="4">
        <v>4.7283964231610003E-3</v>
      </c>
      <c r="W19" s="5">
        <v>88.737159077000115</v>
      </c>
      <c r="X19" s="5">
        <v>728.53034859300078</v>
      </c>
      <c r="Y19" s="2">
        <v>0</v>
      </c>
      <c r="Z19" s="3">
        <v>9.5037594437599099E-2</v>
      </c>
      <c r="AA19" s="3">
        <v>-2.7085889087175019E-7</v>
      </c>
      <c r="AB19" s="3">
        <v>-1.2142720606789231E-8</v>
      </c>
      <c r="AC19" s="4">
        <v>0.3783092200756073</v>
      </c>
      <c r="AD19" s="4">
        <v>0.82025128602981567</v>
      </c>
      <c r="AE19" s="4">
        <v>5.2987079620361328</v>
      </c>
      <c r="AF19" s="4">
        <v>0.67930078506469727</v>
      </c>
      <c r="AG19" s="4">
        <v>0.75294435024261475</v>
      </c>
      <c r="AH19" s="3">
        <v>0.95588922887134564</v>
      </c>
      <c r="AI19" s="3">
        <v>0.98823979367564041</v>
      </c>
      <c r="AJ19" s="3">
        <v>0.99539595030350181</v>
      </c>
      <c r="AK19" s="3">
        <v>0.98704214688391878</v>
      </c>
      <c r="AL19" s="3">
        <v>0.9698025701001346</v>
      </c>
      <c r="AM19" s="3">
        <v>0.98531561237982079</v>
      </c>
      <c r="AN19" s="3">
        <v>0.99313505568873517</v>
      </c>
      <c r="AO19" s="3">
        <v>0.93004255257348423</v>
      </c>
      <c r="AP19" s="3">
        <v>0.958564507086891</v>
      </c>
      <c r="AQ19" s="3">
        <v>0.99036040188875762</v>
      </c>
      <c r="AR19" s="3">
        <v>0.86415674170461876</v>
      </c>
      <c r="AS19" s="3">
        <v>0.95228957653732715</v>
      </c>
      <c r="AT19" s="3">
        <v>0.99607407125213965</v>
      </c>
      <c r="AU19" s="3">
        <v>0.94508559774962597</v>
      </c>
      <c r="AV19" s="3">
        <v>0.98703925775036239</v>
      </c>
      <c r="AW19" s="3">
        <v>0.8675203904234674</v>
      </c>
      <c r="AX19" s="3">
        <v>0.70712450670172822</v>
      </c>
      <c r="AY19" s="3">
        <v>0.92841012303652115</v>
      </c>
      <c r="AZ19" s="3">
        <v>0.92504464349937798</v>
      </c>
      <c r="BA19" s="3">
        <v>0.74186849386969289</v>
      </c>
      <c r="BB19" s="3">
        <v>0.86504317789730645</v>
      </c>
      <c r="BC19" s="3">
        <v>0.49007127039744558</v>
      </c>
      <c r="BD19" s="3">
        <v>-0.43472501124252472</v>
      </c>
      <c r="BE19" s="3">
        <v>0.71458104162995029</v>
      </c>
      <c r="BF19" s="3">
        <v>-0.38757116576852119</v>
      </c>
      <c r="BG19" s="3">
        <v>0.81907293125529779</v>
      </c>
      <c r="BH19" s="3">
        <v>0.93250414238710722</v>
      </c>
      <c r="BI19" s="3">
        <v>0.51038315362407283</v>
      </c>
      <c r="BJ19" s="3">
        <v>0.78288688534020301</v>
      </c>
      <c r="BK19" s="3">
        <v>0.90153764742560039</v>
      </c>
      <c r="BL19" s="3">
        <v>0.49244736188257221</v>
      </c>
      <c r="BM19" s="29">
        <f t="shared" si="0"/>
        <v>0.93536093923625696</v>
      </c>
      <c r="BN19" s="29">
        <f t="shared" si="1"/>
        <v>0.59924528012905531</v>
      </c>
      <c r="BO19" s="28">
        <f t="shared" si="2"/>
        <v>0.97754428784232039</v>
      </c>
    </row>
    <row r="20" spans="1:68" x14ac:dyDescent="0.25">
      <c r="A20" s="2" t="s">
        <v>63</v>
      </c>
      <c r="B20" s="13" t="s">
        <v>76</v>
      </c>
      <c r="C20" s="3">
        <v>0.01</v>
      </c>
      <c r="D20" s="3">
        <v>0.1</v>
      </c>
      <c r="E20" s="2" t="s">
        <v>70</v>
      </c>
      <c r="F20" s="3">
        <v>1</v>
      </c>
      <c r="G20" s="2" t="s">
        <v>67</v>
      </c>
      <c r="H20" s="2" t="s">
        <v>71</v>
      </c>
      <c r="I20" s="2">
        <v>172</v>
      </c>
      <c r="J20" s="2">
        <v>178</v>
      </c>
      <c r="K20" s="2">
        <v>90</v>
      </c>
      <c r="L20" s="2">
        <v>0.52300000000000002</v>
      </c>
      <c r="M20" s="2">
        <v>1</v>
      </c>
      <c r="N20" s="2">
        <v>0</v>
      </c>
      <c r="O20" s="2">
        <v>10000</v>
      </c>
      <c r="P20" s="2">
        <v>447</v>
      </c>
      <c r="Q20" s="4">
        <v>0.29763691872358322</v>
      </c>
      <c r="R20" s="4">
        <v>1.0619154373804729</v>
      </c>
      <c r="S20" s="4">
        <v>1.9363078355789189</v>
      </c>
      <c r="T20" s="4">
        <v>1.447606881459554</v>
      </c>
      <c r="U20" s="4">
        <v>3.6259454488754268</v>
      </c>
      <c r="V20" s="4">
        <v>3.8292996585369103E-2</v>
      </c>
      <c r="W20" s="5">
        <v>95.267176636999977</v>
      </c>
      <c r="X20" s="5">
        <v>563.89087033299984</v>
      </c>
      <c r="Y20" s="2">
        <v>0</v>
      </c>
      <c r="Z20" s="3">
        <v>0.10000000149011611</v>
      </c>
      <c r="AA20" s="3">
        <v>-2.232291080872529E-7</v>
      </c>
      <c r="AB20" s="3">
        <v>-3.4765900380762098E-8</v>
      </c>
      <c r="AC20" s="4">
        <v>0.53645437955856323</v>
      </c>
      <c r="AD20" s="4">
        <v>1.135306239128113</v>
      </c>
      <c r="AE20" s="4">
        <v>6.0282349586486816</v>
      </c>
      <c r="AF20" s="4">
        <v>0.939397633075714</v>
      </c>
      <c r="AG20" s="4">
        <v>1.042145967483521</v>
      </c>
      <c r="AH20" s="3">
        <v>0.89907552777883804</v>
      </c>
      <c r="AI20" s="3">
        <v>0.92977512861793199</v>
      </c>
      <c r="AJ20" s="3">
        <v>0.86744962117699143</v>
      </c>
      <c r="AK20" s="3">
        <v>0.4139775071704877</v>
      </c>
      <c r="AL20" s="3">
        <v>0.93001539446159176</v>
      </c>
      <c r="AM20" s="3">
        <v>0.78188384729194582</v>
      </c>
      <c r="AN20" s="3">
        <v>0.37971378728404909</v>
      </c>
      <c r="AO20" s="3">
        <v>0.85958152485926298</v>
      </c>
      <c r="AP20" s="3">
        <v>0.7967380370581536</v>
      </c>
      <c r="AQ20" s="3">
        <v>0.47222954326932148</v>
      </c>
      <c r="AR20" s="3">
        <v>0.68915043385191854</v>
      </c>
      <c r="AS20" s="3">
        <v>0.85981140592413507</v>
      </c>
      <c r="AT20" s="3">
        <v>0.99081908672788077</v>
      </c>
      <c r="AU20" s="3">
        <v>0.8090197849029932</v>
      </c>
      <c r="AV20" s="3">
        <v>0.99340402701136477</v>
      </c>
      <c r="AW20" s="3">
        <v>0.93891957510201962</v>
      </c>
      <c r="AX20" s="3">
        <v>-8.3001163201779901E-2</v>
      </c>
      <c r="AY20" s="3">
        <v>0.96328267904879439</v>
      </c>
      <c r="AZ20" s="3">
        <v>0.98041447930778003</v>
      </c>
      <c r="BA20" s="3">
        <v>0.51338064789992899</v>
      </c>
      <c r="BB20" s="3">
        <v>0.71450048412179368</v>
      </c>
      <c r="BC20" s="3">
        <v>0.47218684296671398</v>
      </c>
      <c r="BD20" s="3">
        <v>-7.2869050001224949</v>
      </c>
      <c r="BE20" s="3">
        <v>0.76954340144192501</v>
      </c>
      <c r="BF20" s="3">
        <v>-3.6776538458652898E-2</v>
      </c>
      <c r="BG20" s="3">
        <v>0.61760585181697336</v>
      </c>
      <c r="BH20" s="3">
        <v>0.81906067466623145</v>
      </c>
      <c r="BI20" s="3">
        <v>0.49566120151698317</v>
      </c>
      <c r="BJ20" s="3">
        <v>0.56581397980152648</v>
      </c>
      <c r="BK20" s="3">
        <v>0.76737859712327028</v>
      </c>
      <c r="BL20" s="3">
        <v>0.47638112273147082</v>
      </c>
      <c r="BM20" s="29">
        <f t="shared" si="0"/>
        <v>0.88018738558671872</v>
      </c>
      <c r="BN20" s="29">
        <f t="shared" si="1"/>
        <v>4.9901817377364294E-2</v>
      </c>
      <c r="BO20" s="28">
        <f t="shared" si="2"/>
        <v>0.71459604346552619</v>
      </c>
    </row>
    <row r="21" spans="1:68" x14ac:dyDescent="0.25">
      <c r="A21" s="2" t="s">
        <v>63</v>
      </c>
      <c r="B21" s="13" t="s">
        <v>76</v>
      </c>
      <c r="C21" s="3">
        <v>1E-3</v>
      </c>
      <c r="D21" s="3">
        <v>0.1</v>
      </c>
      <c r="E21" s="2" t="s">
        <v>72</v>
      </c>
      <c r="F21" s="3">
        <v>1</v>
      </c>
      <c r="G21" s="2" t="s">
        <v>67</v>
      </c>
      <c r="H21" s="2" t="s">
        <v>73</v>
      </c>
      <c r="I21" s="2">
        <v>228</v>
      </c>
      <c r="J21" s="2">
        <v>234</v>
      </c>
      <c r="K21" s="2">
        <v>90</v>
      </c>
      <c r="L21" s="2">
        <v>0.39500000000000002</v>
      </c>
      <c r="M21" s="2">
        <v>1</v>
      </c>
      <c r="N21" s="2">
        <v>0</v>
      </c>
      <c r="O21" s="2">
        <v>10000</v>
      </c>
      <c r="P21" s="2">
        <v>8433</v>
      </c>
      <c r="Q21" s="4">
        <v>0.34892071038484568</v>
      </c>
      <c r="R21" s="4">
        <v>0.12545775497953091</v>
      </c>
      <c r="S21" s="4">
        <v>0.91403703093528743</v>
      </c>
      <c r="T21" s="4">
        <v>2.95714270323514E-2</v>
      </c>
      <c r="U21" s="4">
        <v>0.68953728303313255</v>
      </c>
      <c r="V21" s="4">
        <v>6.7835049703716998E-3</v>
      </c>
      <c r="W21" s="5">
        <v>98.627167316999916</v>
      </c>
      <c r="X21" s="5">
        <v>815.3960352999984</v>
      </c>
      <c r="Y21" s="2">
        <v>0</v>
      </c>
      <c r="Z21" s="3">
        <v>0.10000000149011611</v>
      </c>
      <c r="AA21" s="3">
        <v>5.1304596127010882E-9</v>
      </c>
      <c r="AB21" s="3">
        <v>-1.507238778231112E-10</v>
      </c>
      <c r="AC21" s="4">
        <v>0.337577074766159</v>
      </c>
      <c r="AD21" s="4">
        <v>0.80868750810623169</v>
      </c>
      <c r="AE21" s="4">
        <v>2.0169498920440669</v>
      </c>
      <c r="AF21" s="4">
        <v>0.66562581062316895</v>
      </c>
      <c r="AG21" s="4">
        <v>0.7413448691368103</v>
      </c>
      <c r="AH21" s="3">
        <v>0.95351797420404416</v>
      </c>
      <c r="AI21" s="3">
        <v>0.99464481585622155</v>
      </c>
      <c r="AJ21" s="3">
        <v>0.99286381098524645</v>
      </c>
      <c r="AK21" s="3">
        <v>0.85228993382985929</v>
      </c>
      <c r="AL21" s="3">
        <v>0.970804314718131</v>
      </c>
      <c r="AM21" s="3">
        <v>0.99233491333191515</v>
      </c>
      <c r="AN21" s="3">
        <v>0.99242604399410161</v>
      </c>
      <c r="AO21" s="3">
        <v>0.92139449801813544</v>
      </c>
      <c r="AP21" s="3">
        <v>0.95698900459569824</v>
      </c>
      <c r="AQ21" s="3">
        <v>0.98321673299670598</v>
      </c>
      <c r="AR21" s="3">
        <v>0.86005628220356545</v>
      </c>
      <c r="AS21" s="3">
        <v>0.96160920999259525</v>
      </c>
      <c r="AT21" s="3">
        <v>0.99784701121552877</v>
      </c>
      <c r="AU21" s="3">
        <v>0.9715746228991482</v>
      </c>
      <c r="AV21" s="3">
        <v>0.96385379745693123</v>
      </c>
      <c r="AW21" s="3">
        <v>0.76233488836745766</v>
      </c>
      <c r="AX21" s="3">
        <v>0.87142064836579325</v>
      </c>
      <c r="AY21" s="3">
        <v>0.87796294335130665</v>
      </c>
      <c r="AZ21" s="3">
        <v>0.94323956525933339</v>
      </c>
      <c r="BA21" s="3">
        <v>0.72670151098472902</v>
      </c>
      <c r="BB21" s="3">
        <v>0.86431963001718037</v>
      </c>
      <c r="BC21" s="3">
        <v>0.51633381118045862</v>
      </c>
      <c r="BD21" s="3">
        <v>0.98199836377884397</v>
      </c>
      <c r="BE21" s="3">
        <v>0.66713167839657328</v>
      </c>
      <c r="BF21" s="3">
        <v>0.55526225278396235</v>
      </c>
      <c r="BG21" s="3">
        <v>0.81153356883109595</v>
      </c>
      <c r="BH21" s="3">
        <v>0.93798091725103883</v>
      </c>
      <c r="BI21" s="3">
        <v>0.52683881514545261</v>
      </c>
      <c r="BJ21" s="3">
        <v>0.77109627084131294</v>
      </c>
      <c r="BK21" s="3">
        <v>0.90351350514919759</v>
      </c>
      <c r="BL21" s="3">
        <v>0.51341266116446405</v>
      </c>
      <c r="BM21" s="29">
        <f t="shared" si="0"/>
        <v>0.91954596868920435</v>
      </c>
      <c r="BN21" s="29">
        <f t="shared" si="1"/>
        <v>0.76458307616671628</v>
      </c>
      <c r="BO21" s="28">
        <f t="shared" si="2"/>
        <v>0.96188489648066833</v>
      </c>
    </row>
    <row r="22" spans="1:68" x14ac:dyDescent="0.25">
      <c r="A22" s="2" t="s">
        <v>63</v>
      </c>
      <c r="B22" s="13" t="s">
        <v>76</v>
      </c>
      <c r="C22" s="3">
        <v>1E-3</v>
      </c>
      <c r="D22" s="3">
        <v>0.1</v>
      </c>
      <c r="E22" s="2" t="s">
        <v>70</v>
      </c>
      <c r="F22" s="3">
        <v>1</v>
      </c>
      <c r="G22" s="2" t="s">
        <v>67</v>
      </c>
      <c r="H22" s="2" t="s">
        <v>71</v>
      </c>
      <c r="I22" s="2">
        <v>172</v>
      </c>
      <c r="J22" s="2">
        <v>178</v>
      </c>
      <c r="K22" s="2">
        <v>90</v>
      </c>
      <c r="L22" s="2">
        <v>0.52300000000000002</v>
      </c>
      <c r="M22" s="2">
        <v>1</v>
      </c>
      <c r="N22" s="2">
        <v>0</v>
      </c>
      <c r="O22" s="2">
        <v>10000</v>
      </c>
      <c r="P22" s="2">
        <v>8555</v>
      </c>
      <c r="Q22" s="4">
        <v>0.40529418736696238</v>
      </c>
      <c r="R22" s="4">
        <v>8.3744422843058899E-2</v>
      </c>
      <c r="S22" s="4">
        <v>0.99951161146163936</v>
      </c>
      <c r="T22" s="4">
        <v>2.7769188707073501E-2</v>
      </c>
      <c r="U22" s="4">
        <v>0.9520106352865696</v>
      </c>
      <c r="V22" s="4">
        <v>9.1352500021456996E-3</v>
      </c>
      <c r="W22" s="5">
        <v>95.338258845999917</v>
      </c>
      <c r="X22" s="5">
        <v>810.39792883300106</v>
      </c>
      <c r="Y22" s="2">
        <v>0</v>
      </c>
      <c r="Z22" s="3">
        <v>0.10000000149011611</v>
      </c>
      <c r="AA22" s="3">
        <v>-4.3231011659372598E-8</v>
      </c>
      <c r="AB22" s="3">
        <v>-1.015330042264395E-9</v>
      </c>
      <c r="AC22" s="4">
        <v>0.4221127033233642</v>
      </c>
      <c r="AD22" s="4">
        <v>0.75295823812484741</v>
      </c>
      <c r="AE22" s="4">
        <v>2.5111949443817139</v>
      </c>
      <c r="AF22" s="4">
        <v>0.62061423063278198</v>
      </c>
      <c r="AG22" s="4">
        <v>0.6906779408454895</v>
      </c>
      <c r="AH22" s="3">
        <v>0.9716405040641628</v>
      </c>
      <c r="AI22" s="3">
        <v>0.99140850203717801</v>
      </c>
      <c r="AJ22" s="3">
        <v>0.99307668354521161</v>
      </c>
      <c r="AK22" s="3">
        <v>0.92590083503061837</v>
      </c>
      <c r="AL22" s="3">
        <v>0.97176187682439796</v>
      </c>
      <c r="AM22" s="3">
        <v>0.98840996556727623</v>
      </c>
      <c r="AN22" s="3">
        <v>0.97111999416257322</v>
      </c>
      <c r="AO22" s="3">
        <v>0.96151174478647283</v>
      </c>
      <c r="AP22" s="3">
        <v>0.98010012715794881</v>
      </c>
      <c r="AQ22" s="3">
        <v>0.98768306707677955</v>
      </c>
      <c r="AR22" s="3">
        <v>0.90265895491162518</v>
      </c>
      <c r="AS22" s="3">
        <v>0.96964692494139537</v>
      </c>
      <c r="AT22" s="3">
        <v>0.9952206936340644</v>
      </c>
      <c r="AU22" s="3">
        <v>0.92319918218502295</v>
      </c>
      <c r="AV22" s="3">
        <v>0.95505835683215257</v>
      </c>
      <c r="AW22" s="3">
        <v>0.70845306832257349</v>
      </c>
      <c r="AX22" s="3">
        <v>0.74364473755605665</v>
      </c>
      <c r="AY22" s="3">
        <v>0.86789868458584385</v>
      </c>
      <c r="AZ22" s="3">
        <v>0.93465456649045076</v>
      </c>
      <c r="BA22" s="3">
        <v>0.77821786904096335</v>
      </c>
      <c r="BB22" s="3">
        <v>0.87820692478347329</v>
      </c>
      <c r="BC22" s="3">
        <v>0.51653287721985741</v>
      </c>
      <c r="BD22" s="3">
        <v>0.89986707065291183</v>
      </c>
      <c r="BE22" s="3">
        <v>0.64284316288345866</v>
      </c>
      <c r="BF22" s="3">
        <v>0.41983636953452452</v>
      </c>
      <c r="BG22" s="3">
        <v>0.85902522693358663</v>
      </c>
      <c r="BH22" s="3">
        <v>0.94821955135550462</v>
      </c>
      <c r="BI22" s="3">
        <v>0.52523173838123105</v>
      </c>
      <c r="BJ22" s="3">
        <v>0.82113043204465741</v>
      </c>
      <c r="BK22" s="3">
        <v>0.91576665397109835</v>
      </c>
      <c r="BL22" s="3">
        <v>0.51260799406800006</v>
      </c>
      <c r="BM22" s="29">
        <f t="shared" si="0"/>
        <v>0.9090395301378057</v>
      </c>
      <c r="BN22" s="29">
        <f t="shared" si="1"/>
        <v>0.75091225730010802</v>
      </c>
      <c r="BO22" s="28">
        <f t="shared" si="2"/>
        <v>0.97455253290982868</v>
      </c>
    </row>
    <row r="23" spans="1:68" x14ac:dyDescent="0.25">
      <c r="A23" s="2" t="s">
        <v>63</v>
      </c>
      <c r="B23" s="13" t="s">
        <v>76</v>
      </c>
      <c r="C23" s="3">
        <v>1E-3</v>
      </c>
      <c r="D23" s="3">
        <v>0.1</v>
      </c>
      <c r="E23" s="2" t="s">
        <v>68</v>
      </c>
      <c r="F23" s="3">
        <v>1</v>
      </c>
      <c r="G23" s="2" t="s">
        <v>67</v>
      </c>
      <c r="H23" s="2" t="s">
        <v>69</v>
      </c>
      <c r="I23" s="2">
        <v>74</v>
      </c>
      <c r="J23" s="2">
        <v>80</v>
      </c>
      <c r="K23" s="2">
        <v>90</v>
      </c>
      <c r="L23" s="2">
        <v>1.216</v>
      </c>
      <c r="M23" s="2">
        <v>1</v>
      </c>
      <c r="N23" s="2">
        <v>0</v>
      </c>
      <c r="O23" s="2">
        <v>10000</v>
      </c>
      <c r="P23" s="2">
        <v>8473</v>
      </c>
      <c r="Q23" s="4">
        <v>0.75390224158763885</v>
      </c>
      <c r="R23" s="4">
        <v>5.2887428551912301E-2</v>
      </c>
      <c r="S23" s="4">
        <v>1.247205889225006</v>
      </c>
      <c r="T23" s="4">
        <v>5.6625129034121799E-2</v>
      </c>
      <c r="U23" s="4">
        <v>0.8501962423324585</v>
      </c>
      <c r="V23" s="4">
        <v>8.5366936400531994E-3</v>
      </c>
      <c r="W23" s="5">
        <v>97.764317970999841</v>
      </c>
      <c r="X23" s="5">
        <v>780.74201022499983</v>
      </c>
      <c r="Y23" s="2">
        <v>0</v>
      </c>
      <c r="Z23" s="3">
        <v>0.10000000149011611</v>
      </c>
      <c r="AA23" s="3">
        <v>-2.9953298508189632E-8</v>
      </c>
      <c r="AB23" s="3">
        <v>-1.1436611657700271E-9</v>
      </c>
      <c r="AC23" s="4">
        <v>0.60768777132034302</v>
      </c>
      <c r="AD23" s="4">
        <v>0.65006124973297119</v>
      </c>
      <c r="AE23" s="4">
        <v>3.798310518264771</v>
      </c>
      <c r="AF23" s="4">
        <v>0.5664946436882019</v>
      </c>
      <c r="AG23" s="4">
        <v>0.6134752631187439</v>
      </c>
      <c r="AH23" s="3">
        <v>0.96589151668335715</v>
      </c>
      <c r="AI23" s="3">
        <v>0.99244850863368583</v>
      </c>
      <c r="AJ23" s="3">
        <v>0.98711523214133157</v>
      </c>
      <c r="AK23" s="3">
        <v>0.99309187791869902</v>
      </c>
      <c r="AL23" s="3">
        <v>0.97581607699906381</v>
      </c>
      <c r="AM23" s="3">
        <v>0.98793144386415277</v>
      </c>
      <c r="AN23" s="3">
        <v>0.97988920458368722</v>
      </c>
      <c r="AO23" s="3">
        <v>0.94579857881336016</v>
      </c>
      <c r="AP23" s="3">
        <v>0.96918197108661919</v>
      </c>
      <c r="AQ23" s="3">
        <v>0.99073950411674538</v>
      </c>
      <c r="AR23" s="3">
        <v>0.85746264275664297</v>
      </c>
      <c r="AS23" s="3">
        <v>0.98457128672665961</v>
      </c>
      <c r="AT23" s="3">
        <v>0.99300931006361137</v>
      </c>
      <c r="AU23" s="3">
        <v>0.93386421270704156</v>
      </c>
      <c r="AV23" s="3">
        <v>0.91679178409537943</v>
      </c>
      <c r="AW23" s="3">
        <v>0.40880696778029407</v>
      </c>
      <c r="AX23" s="3">
        <v>0.7299245883242631</v>
      </c>
      <c r="AY23" s="3">
        <v>0.83471682129894498</v>
      </c>
      <c r="AZ23" s="3">
        <v>0.87221886735465681</v>
      </c>
      <c r="BA23" s="3">
        <v>0.72748328465439793</v>
      </c>
      <c r="BB23" s="3">
        <v>0.91249049297309714</v>
      </c>
      <c r="BC23" s="3">
        <v>0.64799485892370035</v>
      </c>
      <c r="BD23" s="3">
        <v>0.63139010784150806</v>
      </c>
      <c r="BE23" s="3">
        <v>0.57025853977809549</v>
      </c>
      <c r="BF23" s="3">
        <v>7.7499736046321793E-2</v>
      </c>
      <c r="BG23" s="3">
        <v>0.80983632157851126</v>
      </c>
      <c r="BH23" s="3">
        <v>0.9692750578380368</v>
      </c>
      <c r="BI23" s="3">
        <v>0.60716123393477339</v>
      </c>
      <c r="BJ23" s="3">
        <v>0.77090913892058388</v>
      </c>
      <c r="BK23" s="3">
        <v>0.94368193104917719</v>
      </c>
      <c r="BL23" s="3">
        <v>0.61783957785409627</v>
      </c>
      <c r="BM23" s="29">
        <f t="shared" si="0"/>
        <v>0.84908436735493831</v>
      </c>
      <c r="BN23" s="29">
        <f t="shared" si="1"/>
        <v>0.71484537055801101</v>
      </c>
      <c r="BO23" s="28">
        <f t="shared" si="2"/>
        <v>0.98022359979526053</v>
      </c>
    </row>
    <row r="24" spans="1:68" x14ac:dyDescent="0.25">
      <c r="A24" s="2" t="s">
        <v>63</v>
      </c>
      <c r="B24" s="13" t="s">
        <v>76</v>
      </c>
      <c r="C24" s="3">
        <v>0.01</v>
      </c>
      <c r="D24" s="3">
        <v>0.1</v>
      </c>
      <c r="E24" s="2" t="s">
        <v>64</v>
      </c>
      <c r="F24" s="3">
        <v>1</v>
      </c>
      <c r="G24" s="2" t="s">
        <v>65</v>
      </c>
      <c r="H24" s="2" t="s">
        <v>66</v>
      </c>
      <c r="I24" s="2">
        <v>44</v>
      </c>
      <c r="J24" s="2">
        <v>50</v>
      </c>
      <c r="K24" s="2">
        <v>90</v>
      </c>
      <c r="L24" s="2">
        <v>2.0449999999999999</v>
      </c>
      <c r="M24" s="2">
        <v>1</v>
      </c>
      <c r="N24" s="2">
        <v>1</v>
      </c>
      <c r="O24" s="2">
        <v>136</v>
      </c>
      <c r="P24" s="2">
        <v>83</v>
      </c>
      <c r="Q24" s="4">
        <v>1.3212447762489321</v>
      </c>
      <c r="R24" s="4">
        <v>0.45842603842417401</v>
      </c>
      <c r="S24" s="4">
        <v>2.5949154615402219</v>
      </c>
      <c r="T24" s="4">
        <v>0.41969908277193702</v>
      </c>
      <c r="U24" s="4"/>
      <c r="V24" s="4">
        <v>3.3738374710083001E-2</v>
      </c>
      <c r="W24" s="5">
        <v>16.069221101</v>
      </c>
      <c r="X24" s="5">
        <v>21.37586429299995</v>
      </c>
      <c r="Y24" s="2">
        <v>0</v>
      </c>
      <c r="Z24" s="3">
        <v>7.9363577067852006E-2</v>
      </c>
      <c r="AA24" s="3">
        <v>2.129803533534869E-8</v>
      </c>
      <c r="AB24" s="3">
        <v>-2.796296527662889E-11</v>
      </c>
      <c r="AC24" s="4">
        <v>2.652604341506958</v>
      </c>
      <c r="AD24" s="4">
        <v>1.7949962615966799</v>
      </c>
      <c r="AE24" s="4">
        <v>5.772068977355957</v>
      </c>
      <c r="AF24" s="4">
        <v>1.242070078849792</v>
      </c>
      <c r="AG24" s="4">
        <v>1.5128376483917241</v>
      </c>
      <c r="AH24" s="3">
        <v>0.56230889023383035</v>
      </c>
      <c r="AI24" s="3">
        <v>0.47991233103864772</v>
      </c>
      <c r="AJ24" s="3">
        <v>0.96669467826874045</v>
      </c>
      <c r="AK24" s="3">
        <v>0.88136859452988392</v>
      </c>
      <c r="AL24" s="3">
        <v>0.52884854430843609</v>
      </c>
      <c r="AM24" s="3">
        <v>0.98074431947540075</v>
      </c>
      <c r="AN24" s="3">
        <v>0.91598322950761857</v>
      </c>
      <c r="AO24" s="3">
        <v>0.6003951424097107</v>
      </c>
      <c r="AP24" s="3">
        <v>0.98218273965524261</v>
      </c>
      <c r="AQ24" s="3">
        <v>0.92305603714528284</v>
      </c>
      <c r="AR24" s="3">
        <v>0.67341734325005587</v>
      </c>
      <c r="AS24" s="3">
        <v>0.90434695179679481</v>
      </c>
      <c r="AT24" s="3">
        <v>0.72036655601312793</v>
      </c>
      <c r="AU24" s="3">
        <v>0.2970785760184545</v>
      </c>
      <c r="AV24" s="3">
        <v>0.81135372423593788</v>
      </c>
      <c r="AW24" s="3">
        <v>0.36489611903026442</v>
      </c>
      <c r="AX24" s="3">
        <v>7.8038566696892395E-2</v>
      </c>
      <c r="AY24" s="3">
        <v>0.57868414044362915</v>
      </c>
      <c r="AZ24" s="3">
        <v>0.21235314420782009</v>
      </c>
      <c r="BA24" s="3">
        <v>0.67351019061133055</v>
      </c>
      <c r="BB24" s="3">
        <v>0.60879265244683245</v>
      </c>
      <c r="BC24" s="3">
        <v>-0.28273505735464138</v>
      </c>
      <c r="BD24" s="3">
        <v>-0.99245174202747144</v>
      </c>
      <c r="BE24" s="3">
        <v>3.9736393354375198E-2</v>
      </c>
      <c r="BF24" s="3">
        <v>-9.4195904601654903E-2</v>
      </c>
      <c r="BG24" s="3">
        <v>0.70308145171830905</v>
      </c>
      <c r="BH24" s="3">
        <v>0.82658857788627915</v>
      </c>
      <c r="BI24" s="3">
        <v>0.1108275979993423</v>
      </c>
      <c r="BJ24" s="3">
        <v>0.71299652837421301</v>
      </c>
      <c r="BK24" s="3">
        <v>0.72317724567819797</v>
      </c>
      <c r="BL24" s="3">
        <v>-0.1028474709058184</v>
      </c>
      <c r="BM24" s="29">
        <f t="shared" si="0"/>
        <v>0.62857654505743932</v>
      </c>
      <c r="BN24" s="29">
        <f t="shared" si="1"/>
        <v>0.25303708763517563</v>
      </c>
      <c r="BO24" s="28">
        <f t="shared" si="2"/>
        <v>0.80657617959321826</v>
      </c>
    </row>
    <row r="25" spans="1:68" x14ac:dyDescent="0.25">
      <c r="A25" s="2" t="s">
        <v>63</v>
      </c>
      <c r="B25" s="13" t="s">
        <v>76</v>
      </c>
      <c r="C25" s="3">
        <v>0.01</v>
      </c>
      <c r="D25" s="3">
        <v>0.1</v>
      </c>
      <c r="E25" s="2" t="s">
        <v>68</v>
      </c>
      <c r="F25" s="3">
        <v>1</v>
      </c>
      <c r="G25" s="2" t="s">
        <v>65</v>
      </c>
      <c r="H25" s="2" t="s">
        <v>69</v>
      </c>
      <c r="I25" s="2">
        <v>74</v>
      </c>
      <c r="J25" s="2">
        <v>80</v>
      </c>
      <c r="K25" s="2">
        <v>90</v>
      </c>
      <c r="L25" s="2">
        <v>1.216</v>
      </c>
      <c r="M25" s="2">
        <v>1</v>
      </c>
      <c r="N25" s="2">
        <v>0</v>
      </c>
      <c r="O25" s="2">
        <v>10000</v>
      </c>
      <c r="P25" s="2">
        <v>41</v>
      </c>
      <c r="Q25" s="4">
        <v>1.7374308407306669</v>
      </c>
      <c r="R25" s="4">
        <v>0.7133718729019165</v>
      </c>
      <c r="S25" s="4">
        <v>2.3249064922332758</v>
      </c>
      <c r="T25" s="4">
        <v>2.632846275965373</v>
      </c>
      <c r="U25" s="4">
        <v>5.6006584167480469</v>
      </c>
      <c r="V25" s="4">
        <v>4.2322888970374999E-2</v>
      </c>
      <c r="W25" s="5">
        <v>94.854391078000006</v>
      </c>
      <c r="X25" s="5">
        <v>1059.9610745370001</v>
      </c>
      <c r="Y25" s="2">
        <v>0</v>
      </c>
      <c r="Z25" s="3">
        <v>0.10000000149011611</v>
      </c>
      <c r="AA25" s="3">
        <v>1.3433604035526E-3</v>
      </c>
      <c r="AB25" s="3">
        <v>0</v>
      </c>
      <c r="AC25" s="4">
        <v>3.082915067672729</v>
      </c>
      <c r="AD25" s="4">
        <v>0.9175896644592284</v>
      </c>
      <c r="AE25" s="4">
        <v>5.9763617515563956</v>
      </c>
      <c r="AF25" s="4">
        <v>0.80316144227981567</v>
      </c>
      <c r="AG25" s="4">
        <v>0.84450453519821167</v>
      </c>
      <c r="AH25" s="3">
        <v>0.51866356325543106</v>
      </c>
      <c r="AI25" s="3">
        <v>0.35105994088736681</v>
      </c>
      <c r="AJ25" s="3">
        <v>0.95972658519652843</v>
      </c>
      <c r="AK25" s="3">
        <v>0.73799146288373163</v>
      </c>
      <c r="AL25" s="3">
        <v>0.52772566011613264</v>
      </c>
      <c r="AM25" s="3">
        <v>0.94333842418915759</v>
      </c>
      <c r="AN25" s="3">
        <v>0.79110516339589598</v>
      </c>
      <c r="AO25" s="3">
        <v>0.56300440722048328</v>
      </c>
      <c r="AP25" s="3">
        <v>0.87512513448474838</v>
      </c>
      <c r="AQ25" s="3">
        <v>0.82077155358575937</v>
      </c>
      <c r="AR25" s="3">
        <v>0.25809855220483879</v>
      </c>
      <c r="AS25" s="3">
        <v>0.93916374205925779</v>
      </c>
      <c r="AT25" s="3">
        <v>0.77929179726800912</v>
      </c>
      <c r="AU25" s="3">
        <v>0.13535144308838171</v>
      </c>
      <c r="AV25" s="3">
        <v>0.72585408617899128</v>
      </c>
      <c r="AW25" s="3">
        <v>0.15713582081000629</v>
      </c>
      <c r="AX25" s="3">
        <v>-1.61079124244554E-2</v>
      </c>
      <c r="AY25" s="3">
        <v>0.50257629417218785</v>
      </c>
      <c r="AZ25" s="3">
        <v>7.8823882244055399E-2</v>
      </c>
      <c r="BA25" s="3">
        <v>0.35786489238756403</v>
      </c>
      <c r="BB25" s="3">
        <v>0.80604773058664403</v>
      </c>
      <c r="BC25" s="3">
        <v>0.78426368301063287</v>
      </c>
      <c r="BD25" s="3">
        <v>-1.70727504003514</v>
      </c>
      <c r="BE25" s="3">
        <v>-5.8448426018773E-3</v>
      </c>
      <c r="BF25" s="3">
        <v>-6.8374789695251695E-2</v>
      </c>
      <c r="BG25" s="3">
        <v>0.2846484217112456</v>
      </c>
      <c r="BH25" s="3">
        <v>0.91430541300393597</v>
      </c>
      <c r="BI25" s="3">
        <v>0.84950547750144834</v>
      </c>
      <c r="BJ25" s="3">
        <v>0.3265745695796598</v>
      </c>
      <c r="BK25" s="3">
        <v>0.87029323764684841</v>
      </c>
      <c r="BL25" s="3">
        <v>0.8243385805809027</v>
      </c>
      <c r="BM25" s="29">
        <f t="shared" si="0"/>
        <v>0.49914924026824753</v>
      </c>
      <c r="BN25" s="29">
        <f t="shared" si="1"/>
        <v>0.32010930651122671</v>
      </c>
      <c r="BO25" s="28">
        <f t="shared" si="2"/>
        <v>0.72998314799553377</v>
      </c>
    </row>
    <row r="26" spans="1:68" x14ac:dyDescent="0.25">
      <c r="A26" s="2" t="s">
        <v>63</v>
      </c>
      <c r="B26" s="13" t="s">
        <v>76</v>
      </c>
      <c r="C26" s="3">
        <v>1E-3</v>
      </c>
      <c r="D26" s="3">
        <v>0.1</v>
      </c>
      <c r="E26" s="2" t="s">
        <v>68</v>
      </c>
      <c r="F26" s="3">
        <v>1</v>
      </c>
      <c r="G26" s="2" t="s">
        <v>65</v>
      </c>
      <c r="H26" s="2" t="s">
        <v>69</v>
      </c>
      <c r="I26" s="2">
        <v>74</v>
      </c>
      <c r="J26" s="2">
        <v>80</v>
      </c>
      <c r="K26" s="2">
        <v>90</v>
      </c>
      <c r="L26" s="2">
        <v>1.216</v>
      </c>
      <c r="M26" s="2">
        <v>1</v>
      </c>
      <c r="N26" s="2">
        <v>1</v>
      </c>
      <c r="O26" s="2">
        <v>4384</v>
      </c>
      <c r="P26" s="2">
        <v>48</v>
      </c>
      <c r="Q26" s="4">
        <v>1.9487118721008301</v>
      </c>
      <c r="R26" s="4">
        <v>1.176349798838298</v>
      </c>
      <c r="S26" s="4">
        <v>2.699886178970337</v>
      </c>
      <c r="T26" s="4"/>
      <c r="U26" s="4"/>
      <c r="V26" s="4">
        <v>9.5482207834720598E-2</v>
      </c>
      <c r="W26" s="5">
        <v>52.127790247999883</v>
      </c>
      <c r="X26" s="5">
        <v>328.23518141400018</v>
      </c>
      <c r="Y26" s="2">
        <v>0</v>
      </c>
      <c r="Z26" s="3">
        <v>0.10000000149011611</v>
      </c>
      <c r="AA26" s="3">
        <v>6.5421854378650002E-4</v>
      </c>
      <c r="AB26" s="3">
        <v>0</v>
      </c>
      <c r="AC26" s="4">
        <v>2.959283590316772</v>
      </c>
      <c r="AD26" s="4">
        <v>1.745287299156189</v>
      </c>
      <c r="AE26" s="4">
        <v>5.730781078338623</v>
      </c>
      <c r="AF26" s="4">
        <v>1.4630687236785891</v>
      </c>
      <c r="AG26" s="4">
        <v>1.601010203361511</v>
      </c>
      <c r="AH26" s="3">
        <v>0.43378554606624342</v>
      </c>
      <c r="AI26" s="3">
        <v>0.4160717588855864</v>
      </c>
      <c r="AJ26" s="3">
        <v>0.73951162592974984</v>
      </c>
      <c r="AK26" s="3">
        <v>0.68282752224850085</v>
      </c>
      <c r="AL26" s="3">
        <v>0.42455021850331182</v>
      </c>
      <c r="AM26" s="3">
        <v>0.58719299912107026</v>
      </c>
      <c r="AN26" s="3">
        <v>0.70711906791947665</v>
      </c>
      <c r="AO26" s="3">
        <v>0.4207163215124432</v>
      </c>
      <c r="AP26" s="3">
        <v>0.42089781083103711</v>
      </c>
      <c r="AQ26" s="3">
        <v>0.68478513129710961</v>
      </c>
      <c r="AR26" s="3">
        <v>2.1982425929205102E-2</v>
      </c>
      <c r="AS26" s="3">
        <v>0.57402913883734685</v>
      </c>
      <c r="AT26" s="3">
        <v>0.80005181440129536</v>
      </c>
      <c r="AU26" s="3">
        <v>-0.1113136884830177</v>
      </c>
      <c r="AV26" s="3">
        <v>0.90157699270401082</v>
      </c>
      <c r="AW26" s="3">
        <v>0.12544165943222099</v>
      </c>
      <c r="AX26" s="3">
        <v>-0.15925445590989759</v>
      </c>
      <c r="AY26" s="3">
        <v>0.73633519965047789</v>
      </c>
      <c r="AZ26" s="3">
        <v>2.11913724840899E-2</v>
      </c>
      <c r="BA26" s="3">
        <v>9.6187106116842502E-2</v>
      </c>
      <c r="BB26" s="3">
        <v>0.13086539838948119</v>
      </c>
      <c r="BC26" s="3">
        <v>0.5835967028017357</v>
      </c>
      <c r="BD26" s="3">
        <v>-0.37907200464191598</v>
      </c>
      <c r="BE26" s="3">
        <v>0.1052048434408895</v>
      </c>
      <c r="BF26" s="3">
        <v>-0.17428724610324689</v>
      </c>
      <c r="BG26" s="3">
        <v>4.2912451755645502E-2</v>
      </c>
      <c r="BH26" s="3">
        <v>0.4373366998993507</v>
      </c>
      <c r="BI26" s="3">
        <v>0.71564950385964088</v>
      </c>
      <c r="BJ26" s="3">
        <v>7.4291383381814097E-2</v>
      </c>
      <c r="BK26" s="3">
        <v>0.28191363336551861</v>
      </c>
      <c r="BL26" s="3">
        <v>0.65070873723780698</v>
      </c>
      <c r="BM26" s="29">
        <f t="shared" si="0"/>
        <v>0.38529472380351026</v>
      </c>
      <c r="BN26" s="29">
        <f t="shared" si="1"/>
        <v>0.21090528838188219</v>
      </c>
      <c r="BO26" s="28">
        <f t="shared" si="2"/>
        <v>0.56485249513869851</v>
      </c>
    </row>
    <row r="27" spans="1:68" x14ac:dyDescent="0.25">
      <c r="A27" s="2" t="s">
        <v>63</v>
      </c>
      <c r="B27" s="13" t="s">
        <v>76</v>
      </c>
      <c r="C27" s="3">
        <v>1E-3</v>
      </c>
      <c r="D27" s="3">
        <v>0.1</v>
      </c>
      <c r="E27" s="2" t="s">
        <v>72</v>
      </c>
      <c r="F27" s="3">
        <v>1</v>
      </c>
      <c r="G27" s="2" t="s">
        <v>65</v>
      </c>
      <c r="H27" s="2" t="s">
        <v>73</v>
      </c>
      <c r="I27" s="2">
        <v>228</v>
      </c>
      <c r="J27" s="2">
        <v>234</v>
      </c>
      <c r="K27" s="2">
        <v>90</v>
      </c>
      <c r="L27" s="2">
        <v>0.39500000000000002</v>
      </c>
      <c r="M27" s="2">
        <v>1</v>
      </c>
      <c r="N27" s="2">
        <v>0</v>
      </c>
      <c r="O27" s="2">
        <v>10000</v>
      </c>
      <c r="P27" s="2">
        <v>311</v>
      </c>
      <c r="Q27" s="4">
        <v>2.2285481989383702</v>
      </c>
      <c r="R27" s="4">
        <v>0.55025390783945716</v>
      </c>
      <c r="S27" s="4">
        <v>2.9701543569564821</v>
      </c>
      <c r="T27" s="4">
        <v>0.48562285304069519</v>
      </c>
      <c r="U27" s="4">
        <v>5.4312857389450073</v>
      </c>
      <c r="V27" s="4">
        <v>6.6902145743370001E-2</v>
      </c>
      <c r="W27" s="5">
        <v>94.349261694000006</v>
      </c>
      <c r="X27" s="5">
        <v>505.90118166600041</v>
      </c>
      <c r="Y27" s="2">
        <v>0</v>
      </c>
      <c r="Z27" s="3">
        <v>0.10000000149011611</v>
      </c>
      <c r="AA27" s="3">
        <v>1.8580646719783E-3</v>
      </c>
      <c r="AB27" s="3">
        <v>0</v>
      </c>
      <c r="AC27" s="4">
        <v>4.4578423500061044</v>
      </c>
      <c r="AD27" s="4">
        <v>1.1703780889511111</v>
      </c>
      <c r="AE27" s="4">
        <v>7.6442523002624512</v>
      </c>
      <c r="AF27" s="4">
        <v>0.68175441026687622</v>
      </c>
      <c r="AG27" s="4">
        <v>0.89654463529586792</v>
      </c>
      <c r="AH27" s="3">
        <v>0.58485547766635249</v>
      </c>
      <c r="AI27" s="3">
        <v>0.61108793237086512</v>
      </c>
      <c r="AJ27" s="3">
        <v>0.9528906767836316</v>
      </c>
      <c r="AK27" s="3">
        <v>0.7887707957316521</v>
      </c>
      <c r="AL27" s="3">
        <v>0.574679618959683</v>
      </c>
      <c r="AM27" s="3">
        <v>0.95091703083668899</v>
      </c>
      <c r="AN27" s="3">
        <v>0.85787763213248103</v>
      </c>
      <c r="AO27" s="3">
        <v>0.56037091564130148</v>
      </c>
      <c r="AP27" s="3">
        <v>0.92092636859614663</v>
      </c>
      <c r="AQ27" s="3">
        <v>0.88964257278124725</v>
      </c>
      <c r="AR27" s="3">
        <v>0.43397700616462631</v>
      </c>
      <c r="AS27" s="3">
        <v>0.94974299371963922</v>
      </c>
      <c r="AT27" s="3">
        <v>0.79239262341035455</v>
      </c>
      <c r="AU27" s="3">
        <v>-0.22018899759485669</v>
      </c>
      <c r="AV27" s="3">
        <v>0.4595498277088893</v>
      </c>
      <c r="AW27" s="3">
        <v>-0.15912638690071751</v>
      </c>
      <c r="AX27" s="3">
        <v>-0.45628203356762759</v>
      </c>
      <c r="AY27" s="3">
        <v>2.77250992529115E-2</v>
      </c>
      <c r="AZ27" s="3">
        <v>-0.1815195646445899</v>
      </c>
      <c r="BA27" s="3">
        <v>0.70446202639584321</v>
      </c>
      <c r="BB27" s="3">
        <v>0.71238658780417896</v>
      </c>
      <c r="BC27" s="3">
        <v>0.2596456649308963</v>
      </c>
      <c r="BD27" s="3">
        <v>-0.66134181565454941</v>
      </c>
      <c r="BE27" s="3">
        <v>-0.81206961926458199</v>
      </c>
      <c r="BF27" s="3">
        <v>-0.2215362251183787</v>
      </c>
      <c r="BG27" s="3">
        <v>0.53423952345420178</v>
      </c>
      <c r="BH27" s="3">
        <v>0.90737812176446864</v>
      </c>
      <c r="BI27" s="3">
        <v>0.76637566568541216</v>
      </c>
      <c r="BJ27" s="3">
        <v>0.63231956296090708</v>
      </c>
      <c r="BK27" s="3">
        <v>0.82469732257974004</v>
      </c>
      <c r="BL27" s="3">
        <v>0.52883317388067774</v>
      </c>
      <c r="BM27" s="29">
        <f t="shared" si="0"/>
        <v>0.37605784441798923</v>
      </c>
      <c r="BN27" s="29">
        <f t="shared" si="1"/>
        <v>0.23768756603063401</v>
      </c>
      <c r="BO27" s="28">
        <f t="shared" si="2"/>
        <v>0.78968483820374413</v>
      </c>
    </row>
    <row r="28" spans="1:68" x14ac:dyDescent="0.25">
      <c r="A28" s="2" t="s">
        <v>63</v>
      </c>
      <c r="B28" s="13" t="s">
        <v>76</v>
      </c>
      <c r="C28" s="3">
        <v>1E-3</v>
      </c>
      <c r="D28" s="3">
        <v>0.1</v>
      </c>
      <c r="E28" s="2" t="s">
        <v>70</v>
      </c>
      <c r="F28" s="3">
        <v>1</v>
      </c>
      <c r="G28" s="2" t="s">
        <v>65</v>
      </c>
      <c r="H28" s="2" t="s">
        <v>71</v>
      </c>
      <c r="I28" s="2">
        <v>172</v>
      </c>
      <c r="J28" s="2">
        <v>178</v>
      </c>
      <c r="K28" s="2">
        <v>90</v>
      </c>
      <c r="L28" s="2">
        <v>0.52300000000000002</v>
      </c>
      <c r="M28" s="2">
        <v>1</v>
      </c>
      <c r="N28" s="2">
        <v>1</v>
      </c>
      <c r="O28" s="2">
        <v>7538</v>
      </c>
      <c r="P28" s="2">
        <v>73</v>
      </c>
      <c r="Q28" s="4">
        <v>2.285408079624176</v>
      </c>
      <c r="R28" s="4">
        <v>0.57739488283793128</v>
      </c>
      <c r="S28" s="4">
        <v>2.7980687022209172</v>
      </c>
      <c r="T28" s="4"/>
      <c r="U28" s="4"/>
      <c r="V28" s="4">
        <v>0.1188723072409629</v>
      </c>
      <c r="W28" s="5">
        <v>76.501851741999872</v>
      </c>
      <c r="X28" s="5">
        <v>724.64163243799885</v>
      </c>
      <c r="Y28" s="2">
        <v>0</v>
      </c>
      <c r="Z28" s="3">
        <v>0.10000000149011611</v>
      </c>
      <c r="AA28" s="3">
        <v>2.0791688002644998E-3</v>
      </c>
      <c r="AB28" s="3">
        <v>0</v>
      </c>
      <c r="AC28" s="4">
        <v>3.8935914039611821</v>
      </c>
      <c r="AD28" s="4">
        <v>1.0541608333587651</v>
      </c>
      <c r="AE28" s="4">
        <v>7.4128050804138184</v>
      </c>
      <c r="AF28" s="4">
        <v>0.75655752420425415</v>
      </c>
      <c r="AG28" s="4">
        <v>0.87322866916656494</v>
      </c>
      <c r="AH28" s="3">
        <v>0.60977703511131631</v>
      </c>
      <c r="AI28" s="3">
        <v>0.59278463552985627</v>
      </c>
      <c r="AJ28" s="3">
        <v>0.90747224351495315</v>
      </c>
      <c r="AK28" s="3">
        <v>0.82597327214071448</v>
      </c>
      <c r="AL28" s="3">
        <v>0.61941959633883781</v>
      </c>
      <c r="AM28" s="3">
        <v>0.86234850531329799</v>
      </c>
      <c r="AN28" s="3">
        <v>0.87596890115353121</v>
      </c>
      <c r="AO28" s="3">
        <v>0.59192259859176077</v>
      </c>
      <c r="AP28" s="3">
        <v>0.80214802832973986</v>
      </c>
      <c r="AQ28" s="3">
        <v>0.89256218279053845</v>
      </c>
      <c r="AR28" s="3">
        <v>0.23646166365742399</v>
      </c>
      <c r="AS28" s="3">
        <v>0.93919026798458405</v>
      </c>
      <c r="AT28" s="3">
        <v>0.70942812749739925</v>
      </c>
      <c r="AU28" s="3">
        <v>-4.3625007629907999E-3</v>
      </c>
      <c r="AV28" s="3">
        <v>0.73436468196098714</v>
      </c>
      <c r="AW28" s="3">
        <v>-0.27688999645322121</v>
      </c>
      <c r="AX28" s="3">
        <v>-5.9311711627129698E-2</v>
      </c>
      <c r="AY28" s="3">
        <v>0.4989117140161779</v>
      </c>
      <c r="AZ28" s="3">
        <v>-0.28248191402592271</v>
      </c>
      <c r="BA28" s="3">
        <v>0.39486794810462</v>
      </c>
      <c r="BB28" s="3">
        <v>0.7476848412117969</v>
      </c>
      <c r="BC28" s="3">
        <v>0.64554998091525451</v>
      </c>
      <c r="BD28" s="3">
        <v>-0.4368286745969398</v>
      </c>
      <c r="BE28" s="3">
        <v>-3.6705013242891597E-2</v>
      </c>
      <c r="BF28" s="3">
        <v>-0.62049397347293667</v>
      </c>
      <c r="BG28" s="3">
        <v>0.28688017533341731</v>
      </c>
      <c r="BH28" s="3">
        <v>0.89926901093160172</v>
      </c>
      <c r="BI28" s="3">
        <v>0.90538103389370339</v>
      </c>
      <c r="BJ28" s="3">
        <v>0.3475457966813808</v>
      </c>
      <c r="BK28" s="3">
        <v>0.83378713442209818</v>
      </c>
      <c r="BL28" s="3">
        <v>0.79948831855656499</v>
      </c>
      <c r="BM28" s="29">
        <f t="shared" si="0"/>
        <v>0.38969870731403039</v>
      </c>
      <c r="BN28" s="29">
        <f t="shared" si="1"/>
        <v>0.32823631114005303</v>
      </c>
      <c r="BO28" s="28">
        <f t="shared" si="2"/>
        <v>0.77451110707813653</v>
      </c>
    </row>
    <row r="29" spans="1:68" x14ac:dyDescent="0.25">
      <c r="A29" s="2" t="s">
        <v>63</v>
      </c>
      <c r="B29" s="13" t="s">
        <v>76</v>
      </c>
      <c r="C29" s="3">
        <v>1E-3</v>
      </c>
      <c r="D29" s="3">
        <v>0.1</v>
      </c>
      <c r="E29" s="2" t="s">
        <v>64</v>
      </c>
      <c r="F29" s="3">
        <v>1</v>
      </c>
      <c r="G29" s="2" t="s">
        <v>65</v>
      </c>
      <c r="H29" s="2" t="s">
        <v>66</v>
      </c>
      <c r="I29" s="2">
        <v>44</v>
      </c>
      <c r="J29" s="2">
        <v>50</v>
      </c>
      <c r="K29" s="2">
        <v>90</v>
      </c>
      <c r="L29" s="2">
        <v>2.0449999999999999</v>
      </c>
      <c r="M29" s="2">
        <v>1</v>
      </c>
      <c r="N29" s="2">
        <v>1</v>
      </c>
      <c r="O29" s="2">
        <v>279</v>
      </c>
      <c r="P29" s="2">
        <v>30</v>
      </c>
      <c r="Q29" s="4">
        <v>2.297646045684814</v>
      </c>
      <c r="R29" s="4">
        <v>0.93217541774113977</v>
      </c>
      <c r="S29" s="4">
        <v>4.0464875459671017</v>
      </c>
      <c r="T29" s="4">
        <v>0.34186980128288269</v>
      </c>
      <c r="U29" s="4"/>
      <c r="V29" s="4">
        <v>3.8696452975273098E-2</v>
      </c>
      <c r="W29" s="5">
        <v>16.00211847900005</v>
      </c>
      <c r="X29" s="5">
        <v>23.667009128000249</v>
      </c>
      <c r="Y29" s="2">
        <v>0</v>
      </c>
      <c r="Z29" s="3">
        <v>0.10000000149011611</v>
      </c>
      <c r="AA29" s="3">
        <v>4.4825506696245798E-13</v>
      </c>
      <c r="AB29" s="3">
        <v>0</v>
      </c>
      <c r="AC29" s="4">
        <v>4.8162784576416016</v>
      </c>
      <c r="AD29" s="4">
        <v>2.973112821578979</v>
      </c>
      <c r="AE29" s="4">
        <v>9.1626996994018555</v>
      </c>
      <c r="AF29" s="4">
        <v>1.439433693885803</v>
      </c>
      <c r="AG29" s="4">
        <v>1.840913057327271</v>
      </c>
      <c r="AH29" s="3">
        <v>0.42677048544752078</v>
      </c>
      <c r="AI29" s="3">
        <v>0.26666108490808121</v>
      </c>
      <c r="AJ29" s="3">
        <v>0.89506272203630644</v>
      </c>
      <c r="AK29" s="3">
        <v>0.6935112077874892</v>
      </c>
      <c r="AL29" s="3">
        <v>0.3742781467814727</v>
      </c>
      <c r="AM29" s="3">
        <v>0.80510793754954713</v>
      </c>
      <c r="AN29" s="3">
        <v>0.8020972120395703</v>
      </c>
      <c r="AO29" s="3">
        <v>0.50551417831555367</v>
      </c>
      <c r="AP29" s="3">
        <v>0.62026939187632757</v>
      </c>
      <c r="AQ29" s="3">
        <v>0.7911589793385716</v>
      </c>
      <c r="AR29" s="3">
        <v>0.48287611454420232</v>
      </c>
      <c r="AS29" s="3">
        <v>0.5353677239867336</v>
      </c>
      <c r="AT29" s="3">
        <v>0.7970193838663987</v>
      </c>
      <c r="AU29" s="3">
        <v>-0.29499785517909721</v>
      </c>
      <c r="AV29" s="3">
        <v>0.74532310235954413</v>
      </c>
      <c r="AW29" s="3">
        <v>-0.23391880337491039</v>
      </c>
      <c r="AX29" s="3">
        <v>-0.79054764728166593</v>
      </c>
      <c r="AY29" s="3">
        <v>0.1432703350971567</v>
      </c>
      <c r="AZ29" s="3">
        <v>-0.35267747303348979</v>
      </c>
      <c r="BA29" s="3">
        <v>-0.50328797031900052</v>
      </c>
      <c r="BB29" s="3">
        <v>-3.7938331602418801E-2</v>
      </c>
      <c r="BC29" s="3">
        <v>-1.3623953801950001E-4</v>
      </c>
      <c r="BD29" s="3">
        <v>-1.6602148630789719</v>
      </c>
      <c r="BE29" s="3">
        <v>-1.3940437080802099</v>
      </c>
      <c r="BF29" s="3">
        <v>-0.27467034400905321</v>
      </c>
      <c r="BG29" s="3">
        <v>0.53209733198009412</v>
      </c>
      <c r="BH29" s="3">
        <v>0.3517956741904234</v>
      </c>
      <c r="BI29" s="3">
        <v>0.38516633912885828</v>
      </c>
      <c r="BJ29" s="3">
        <v>0.41515926758100891</v>
      </c>
      <c r="BK29" s="3">
        <v>0.15092469745053749</v>
      </c>
      <c r="BL29" s="3">
        <v>0.18734581490326579</v>
      </c>
      <c r="BM29" s="29">
        <f t="shared" si="0"/>
        <v>0.33861161103381182</v>
      </c>
      <c r="BN29" s="29">
        <f t="shared" si="1"/>
        <v>-0.18985047444076558</v>
      </c>
      <c r="BO29" s="28">
        <f t="shared" si="2"/>
        <v>0.6392956511814355</v>
      </c>
    </row>
    <row r="30" spans="1:68" x14ac:dyDescent="0.25">
      <c r="A30" s="2" t="s">
        <v>63</v>
      </c>
      <c r="B30" s="13" t="s">
        <v>76</v>
      </c>
      <c r="C30" s="3">
        <v>0.01</v>
      </c>
      <c r="D30" s="3">
        <v>0.1</v>
      </c>
      <c r="E30" s="2" t="s">
        <v>72</v>
      </c>
      <c r="F30" s="3">
        <v>1</v>
      </c>
      <c r="G30" s="2" t="s">
        <v>67</v>
      </c>
      <c r="H30" s="2" t="s">
        <v>73</v>
      </c>
      <c r="I30" s="2">
        <v>228</v>
      </c>
      <c r="J30" s="2">
        <v>234</v>
      </c>
      <c r="K30" s="2">
        <v>90</v>
      </c>
      <c r="L30" s="2">
        <v>0.39500000000000002</v>
      </c>
      <c r="M30" s="2">
        <v>1</v>
      </c>
      <c r="N30" s="2">
        <v>0</v>
      </c>
      <c r="O30" s="2">
        <v>10000</v>
      </c>
      <c r="P30" s="2">
        <v>9031</v>
      </c>
      <c r="Q30" s="4">
        <v>2.982530951499939</v>
      </c>
      <c r="R30" s="4">
        <v>2.0703291893005371</v>
      </c>
      <c r="S30" s="4">
        <v>3.7802852630615229</v>
      </c>
      <c r="T30" s="4">
        <v>1.87051514784495</v>
      </c>
      <c r="U30" s="4">
        <v>3.072391033172607</v>
      </c>
      <c r="V30" s="4">
        <v>0.31814748048782349</v>
      </c>
      <c r="W30" s="5">
        <v>92.990801445000002</v>
      </c>
      <c r="X30" s="5">
        <v>543.83096547600007</v>
      </c>
      <c r="Y30" s="2">
        <v>0</v>
      </c>
      <c r="Z30" s="3">
        <v>0.10000000149011611</v>
      </c>
      <c r="AA30" s="3">
        <v>7.7747671920814521E-17</v>
      </c>
      <c r="AB30" s="3">
        <v>-8.7944158622121904E-9</v>
      </c>
      <c r="AC30" s="4">
        <v>3.1214110851287842</v>
      </c>
      <c r="AD30" s="4">
        <v>2.5207750797271729</v>
      </c>
      <c r="AE30" s="4">
        <v>8.4506235122680664</v>
      </c>
      <c r="AF30" s="4">
        <v>2.36617112159729</v>
      </c>
      <c r="AG30" s="4">
        <v>2.4424455165863042</v>
      </c>
      <c r="AH30" s="3">
        <v>0.1953297446486624</v>
      </c>
      <c r="AI30" s="3">
        <v>0.32691786558240421</v>
      </c>
      <c r="AJ30" s="3">
        <v>4.2310477401442101E-2</v>
      </c>
      <c r="AK30" s="3">
        <v>0.5746294818465999</v>
      </c>
      <c r="AL30" s="3">
        <v>0.30948886761572741</v>
      </c>
      <c r="AM30" s="3">
        <v>-0.24437782111518119</v>
      </c>
      <c r="AN30" s="3">
        <v>0.59942123859443908</v>
      </c>
      <c r="AO30" s="3">
        <v>2.0818896419241999E-2</v>
      </c>
      <c r="AP30" s="3">
        <v>-9.3993066154746993E-2</v>
      </c>
      <c r="AQ30" s="3">
        <v>0.54731931344437612</v>
      </c>
      <c r="AR30" s="3">
        <v>-0.41205450093836982</v>
      </c>
      <c r="AS30" s="3">
        <v>0.16657588673011831</v>
      </c>
      <c r="AT30" s="3">
        <v>0.30616885125953042</v>
      </c>
      <c r="AU30" s="3">
        <v>-0.12961412485258789</v>
      </c>
      <c r="AV30" s="3">
        <v>0.58280882038129023</v>
      </c>
      <c r="AW30" s="3">
        <v>-3.9384463879200401E-2</v>
      </c>
      <c r="AX30" s="3">
        <v>-1.2689032898889E-3</v>
      </c>
      <c r="AY30" s="3">
        <v>0.73593321124803435</v>
      </c>
      <c r="AZ30" s="3">
        <v>-8.2678230046896603E-2</v>
      </c>
      <c r="BA30" s="3">
        <v>-0.44680495042812729</v>
      </c>
      <c r="BB30" s="3">
        <v>-0.1037700351564456</v>
      </c>
      <c r="BC30" s="3">
        <v>0.44258764831393721</v>
      </c>
      <c r="BD30" s="3">
        <v>-1.4968991501192861</v>
      </c>
      <c r="BE30" s="3">
        <v>0.913020969873934</v>
      </c>
      <c r="BF30" s="3">
        <v>-1.409050914758776</v>
      </c>
      <c r="BG30" s="3">
        <v>-0.43490862976166689</v>
      </c>
      <c r="BH30" s="3">
        <v>8.5881028204191703E-2</v>
      </c>
      <c r="BI30" s="3">
        <v>0.4474284258476548</v>
      </c>
      <c r="BJ30" s="3">
        <v>-0.44225581212920728</v>
      </c>
      <c r="BK30" s="3">
        <v>-1.52954996566863E-2</v>
      </c>
      <c r="BL30" s="3">
        <v>0.4436449325801165</v>
      </c>
      <c r="BM30" s="29">
        <f t="shared" si="0"/>
        <v>7.9083411450130134E-2</v>
      </c>
      <c r="BN30" s="29">
        <f t="shared" si="1"/>
        <v>-9.096239395194082E-2</v>
      </c>
      <c r="BO30" s="28">
        <f t="shared" si="2"/>
        <v>0.23139280595936695</v>
      </c>
    </row>
    <row r="31" spans="1:68" x14ac:dyDescent="0.25">
      <c r="A31" s="2" t="s">
        <v>63</v>
      </c>
      <c r="B31" s="13" t="s">
        <v>76</v>
      </c>
      <c r="C31" s="3">
        <v>0.01</v>
      </c>
      <c r="D31" s="3">
        <v>0.1</v>
      </c>
      <c r="E31" s="2" t="s">
        <v>72</v>
      </c>
      <c r="F31" s="3">
        <v>1</v>
      </c>
      <c r="G31" s="2" t="s">
        <v>65</v>
      </c>
      <c r="H31" s="2" t="s">
        <v>73</v>
      </c>
      <c r="I31" s="2">
        <v>228</v>
      </c>
      <c r="J31" s="2">
        <v>234</v>
      </c>
      <c r="K31" s="2">
        <v>90</v>
      </c>
      <c r="L31" s="2">
        <v>0.39500000000000002</v>
      </c>
      <c r="M31" s="2">
        <v>1</v>
      </c>
      <c r="N31" s="2">
        <v>1</v>
      </c>
      <c r="O31" s="2">
        <v>3178</v>
      </c>
      <c r="P31" s="2">
        <v>36</v>
      </c>
      <c r="Q31" s="4">
        <v>3.0175372362136841</v>
      </c>
      <c r="R31" s="4">
        <v>2.6676168441772461</v>
      </c>
      <c r="S31" s="4">
        <v>3.539041328430176</v>
      </c>
      <c r="T31" s="4"/>
      <c r="U31" s="4"/>
      <c r="V31" s="4">
        <v>0.10636299103498451</v>
      </c>
      <c r="W31" s="5">
        <v>42.804659643000043</v>
      </c>
      <c r="X31" s="5">
        <v>130.9052608580005</v>
      </c>
      <c r="Y31" s="2">
        <v>0</v>
      </c>
      <c r="Z31" s="3">
        <v>0.10000000149011611</v>
      </c>
      <c r="AA31" s="3">
        <v>1.159000094048E-4</v>
      </c>
      <c r="AB31" s="3">
        <v>0</v>
      </c>
      <c r="AC31" s="4">
        <v>3.9486184120178218</v>
      </c>
      <c r="AD31" s="4">
        <v>2.594017505645752</v>
      </c>
      <c r="AE31" s="4">
        <v>6.1539950370788574</v>
      </c>
      <c r="AF31" s="4">
        <v>2.4676239490509042</v>
      </c>
      <c r="AG31" s="4">
        <v>2.5309517383575439</v>
      </c>
      <c r="AH31" s="3">
        <v>-0.3536457523420129</v>
      </c>
      <c r="AI31" s="3">
        <v>-0.48562959364916858</v>
      </c>
      <c r="AJ31" s="3">
        <v>0.74525250659501718</v>
      </c>
      <c r="AK31" s="3">
        <v>-3.0329025850347399E-2</v>
      </c>
      <c r="AL31" s="3">
        <v>-6.0770351327341397E-2</v>
      </c>
      <c r="AM31" s="3">
        <v>0.50115869552104897</v>
      </c>
      <c r="AN31" s="3">
        <v>-4.63531373366168E-2</v>
      </c>
      <c r="AO31" s="3">
        <v>-0.56094575586786721</v>
      </c>
      <c r="AP31" s="3">
        <v>0.67198060706717233</v>
      </c>
      <c r="AQ31" s="3">
        <v>7.0699532354572006E-2</v>
      </c>
      <c r="AR31" s="3">
        <v>-0.49182391852079638</v>
      </c>
      <c r="AS31" s="3">
        <v>0.76000311536135201</v>
      </c>
      <c r="AT31" s="3">
        <v>0.150899882573823</v>
      </c>
      <c r="AU31" s="3">
        <v>-1.089350237469648</v>
      </c>
      <c r="AV31" s="3">
        <v>0.84503990804881635</v>
      </c>
      <c r="AW31" s="3">
        <v>-4.94051253761549E-2</v>
      </c>
      <c r="AX31" s="3">
        <v>-1.3881530388420411</v>
      </c>
      <c r="AY31" s="3">
        <v>0.65086175079075992</v>
      </c>
      <c r="AZ31" s="3">
        <v>-0.14904759754553559</v>
      </c>
      <c r="BA31" s="3">
        <v>-0.2223780157834398</v>
      </c>
      <c r="BB31" s="3">
        <v>0.35409940275659402</v>
      </c>
      <c r="BC31" s="3">
        <v>-0.1065717661662104</v>
      </c>
      <c r="BD31" s="3">
        <v>-1.8291007102119961</v>
      </c>
      <c r="BE31" s="3">
        <v>0.1483931303032705</v>
      </c>
      <c r="BF31" s="3">
        <v>-0.20383895754687509</v>
      </c>
      <c r="BG31" s="3">
        <v>-0.40029966781917609</v>
      </c>
      <c r="BH31" s="3">
        <v>0.64513604430281946</v>
      </c>
      <c r="BI31" s="3">
        <v>-7.3580457829166696E-2</v>
      </c>
      <c r="BJ31" s="3">
        <v>-0.30795747892001007</v>
      </c>
      <c r="BK31" s="3">
        <v>0.5027496904457982</v>
      </c>
      <c r="BL31" s="3">
        <v>-8.8996023919760595E-2</v>
      </c>
      <c r="BM31" s="29">
        <f t="shared" si="0"/>
        <v>2.089393743623201E-2</v>
      </c>
      <c r="BN31" s="29">
        <f t="shared" si="1"/>
        <v>-0.16457891306566466</v>
      </c>
      <c r="BO31" s="28">
        <f t="shared" si="2"/>
        <v>8.9451497500718791E-2</v>
      </c>
    </row>
    <row r="32" spans="1:68" x14ac:dyDescent="0.25">
      <c r="A32" s="2" t="s">
        <v>63</v>
      </c>
      <c r="B32" s="13" t="s">
        <v>76</v>
      </c>
      <c r="C32" s="3">
        <v>0.01</v>
      </c>
      <c r="D32" s="3">
        <v>0.1</v>
      </c>
      <c r="E32" s="2" t="s">
        <v>64</v>
      </c>
      <c r="F32" s="3">
        <v>1</v>
      </c>
      <c r="G32" s="2" t="s">
        <v>67</v>
      </c>
      <c r="H32" s="2" t="s">
        <v>66</v>
      </c>
      <c r="I32" s="2">
        <v>44</v>
      </c>
      <c r="J32" s="2">
        <v>50</v>
      </c>
      <c r="K32" s="2">
        <v>90</v>
      </c>
      <c r="L32" s="2">
        <v>2.0449999999999999</v>
      </c>
      <c r="M32" s="2">
        <v>1</v>
      </c>
      <c r="N32" s="2">
        <v>1</v>
      </c>
      <c r="O32" s="2">
        <v>190</v>
      </c>
      <c r="P32" s="2">
        <v>178</v>
      </c>
      <c r="Q32" s="4">
        <v>3.1772885322570801</v>
      </c>
      <c r="R32" s="4">
        <v>2.639897982279459</v>
      </c>
      <c r="S32" s="4">
        <v>4.4014167308807366</v>
      </c>
      <c r="T32" s="4">
        <v>1.4053647280106141E+32</v>
      </c>
      <c r="U32" s="4"/>
      <c r="V32" s="4">
        <v>5.7959944009780801E-2</v>
      </c>
      <c r="W32" s="5">
        <v>17.533047975999999</v>
      </c>
      <c r="X32" s="5">
        <v>23.005558790000119</v>
      </c>
      <c r="Y32" s="2">
        <v>0</v>
      </c>
      <c r="Z32" s="3">
        <v>2.5441700592637E-2</v>
      </c>
      <c r="AA32" s="3">
        <v>1.330997179138649E-8</v>
      </c>
      <c r="AB32" s="3">
        <v>0</v>
      </c>
      <c r="AC32" s="4">
        <v>4.4044380187988281</v>
      </c>
      <c r="AD32" s="4">
        <v>2.71723461151123</v>
      </c>
      <c r="AE32" s="4">
        <v>9.7512197494506836</v>
      </c>
      <c r="AF32" s="4">
        <v>2.518823623657227</v>
      </c>
      <c r="AG32" s="4">
        <v>2.6153676509857182</v>
      </c>
      <c r="AH32" s="3">
        <v>0.7275595904588078</v>
      </c>
      <c r="AI32" s="3">
        <v>0.86135206295242839</v>
      </c>
      <c r="AJ32" s="3">
        <v>0.97735379363223363</v>
      </c>
      <c r="AK32" s="3">
        <v>-0.68665839312245858</v>
      </c>
      <c r="AL32" s="3">
        <v>0.77857910801987484</v>
      </c>
      <c r="AM32" s="3">
        <v>0.99372105034907965</v>
      </c>
      <c r="AN32" s="3">
        <v>-0.68361309402197157</v>
      </c>
      <c r="AO32" s="3">
        <v>0.62080746249043439</v>
      </c>
      <c r="AP32" s="3">
        <v>0.99042631366268863</v>
      </c>
      <c r="AQ32" s="3">
        <v>-0.68295573729698633</v>
      </c>
      <c r="AR32" s="3">
        <v>0.78903272912709643</v>
      </c>
      <c r="AS32" s="3">
        <v>0.64496738949901422</v>
      </c>
      <c r="AT32" s="3">
        <v>-0.69276742210518183</v>
      </c>
      <c r="AU32" s="3">
        <v>0.4132801425128283</v>
      </c>
      <c r="AV32" s="3">
        <v>0.9357055000016008</v>
      </c>
      <c r="AW32" s="3">
        <v>-0.4738888033165129</v>
      </c>
      <c r="AX32" s="3">
        <v>-1.9549747572246181</v>
      </c>
      <c r="AY32" s="3">
        <v>0.99380274081248476</v>
      </c>
      <c r="AZ32" s="3">
        <v>-0.45846388198311172</v>
      </c>
      <c r="BA32" s="3">
        <v>0.56145747813332925</v>
      </c>
      <c r="BB32" s="3">
        <v>0.43721043786534691</v>
      </c>
      <c r="BC32" s="3">
        <v>-1.0108220532857419</v>
      </c>
      <c r="BD32" s="3">
        <v>-18.231949876254589</v>
      </c>
      <c r="BE32" s="3">
        <v>0.90680444452821363</v>
      </c>
      <c r="BF32" s="3">
        <v>-0.31757739976175831</v>
      </c>
      <c r="BG32" s="3">
        <v>0.70239394031594893</v>
      </c>
      <c r="BH32" s="3">
        <v>0.58265841914916683</v>
      </c>
      <c r="BI32" s="3">
        <v>-1.015202371262141</v>
      </c>
      <c r="BJ32" s="3">
        <v>0.63199459859235718</v>
      </c>
      <c r="BK32" s="3">
        <v>0.50774869201552619</v>
      </c>
      <c r="BL32" s="3">
        <v>-1.011775577758905</v>
      </c>
      <c r="BM32" s="29">
        <f t="shared" si="0"/>
        <v>0.26938825595314086</v>
      </c>
      <c r="BN32" s="29">
        <f t="shared" si="1"/>
        <v>-1.2451130110745663</v>
      </c>
      <c r="BO32" s="28">
        <f t="shared" si="2"/>
        <v>0.35211250740725814</v>
      </c>
    </row>
    <row r="33" spans="1:67" x14ac:dyDescent="0.25">
      <c r="A33" s="2" t="s">
        <v>63</v>
      </c>
      <c r="B33" s="13" t="s">
        <v>76</v>
      </c>
      <c r="C33" s="3">
        <v>0.01</v>
      </c>
      <c r="D33" s="3">
        <v>0.1</v>
      </c>
      <c r="E33" s="2" t="s">
        <v>70</v>
      </c>
      <c r="F33" s="3">
        <v>1</v>
      </c>
      <c r="G33" s="2" t="s">
        <v>65</v>
      </c>
      <c r="H33" s="2" t="s">
        <v>71</v>
      </c>
      <c r="I33" s="2">
        <v>172</v>
      </c>
      <c r="J33" s="2">
        <v>178</v>
      </c>
      <c r="K33" s="2">
        <v>90</v>
      </c>
      <c r="L33" s="2">
        <v>0.52300000000000002</v>
      </c>
      <c r="M33" s="2">
        <v>1</v>
      </c>
      <c r="N33" s="2">
        <v>0</v>
      </c>
      <c r="O33" s="2">
        <v>10000</v>
      </c>
      <c r="P33" s="2">
        <v>7</v>
      </c>
      <c r="Q33" s="4">
        <v>3.6656557321548462</v>
      </c>
      <c r="R33" s="4">
        <v>3.1321855386098232</v>
      </c>
      <c r="S33" s="4">
        <v>4.0110074520111088</v>
      </c>
      <c r="T33" s="4">
        <v>2.7129038969675698</v>
      </c>
      <c r="U33" s="4">
        <v>6.0216646194458008</v>
      </c>
      <c r="V33" s="4">
        <v>0.14160235226154319</v>
      </c>
      <c r="W33" s="5">
        <v>89.977824195999972</v>
      </c>
      <c r="X33" s="5">
        <v>293.03208664999971</v>
      </c>
      <c r="Y33" s="2">
        <v>0</v>
      </c>
      <c r="Z33" s="3">
        <v>0.10000000149011611</v>
      </c>
      <c r="AA33" s="3">
        <v>3.6418223317014049E-6</v>
      </c>
      <c r="AB33" s="3">
        <v>0</v>
      </c>
      <c r="AC33" s="4">
        <v>3.960802555084229</v>
      </c>
      <c r="AD33" s="4">
        <v>3.2969765663146968</v>
      </c>
      <c r="AE33" s="4">
        <v>6.4266328811645508</v>
      </c>
      <c r="AF33" s="4">
        <v>3.1502704620361328</v>
      </c>
      <c r="AG33" s="4">
        <v>3.2203547954559331</v>
      </c>
      <c r="AH33" s="3">
        <v>0.36329282963561288</v>
      </c>
      <c r="AI33" s="3">
        <v>8.7772414500325399E-2</v>
      </c>
      <c r="AJ33" s="3">
        <v>0.80860594495683358</v>
      </c>
      <c r="AK33" s="3">
        <v>-0.68665839312245858</v>
      </c>
      <c r="AL33" s="3">
        <v>0.37503628962391178</v>
      </c>
      <c r="AM33" s="3">
        <v>0.73550728943164134</v>
      </c>
      <c r="AN33" s="3">
        <v>-0.68361309402197157</v>
      </c>
      <c r="AO33" s="3">
        <v>0.4457569593011162</v>
      </c>
      <c r="AP33" s="3">
        <v>0.6585980894460598</v>
      </c>
      <c r="AQ33" s="3">
        <v>-0.68295573729698633</v>
      </c>
      <c r="AR33" s="3">
        <v>-0.31021660404800189</v>
      </c>
      <c r="AS33" s="3">
        <v>0.93282995971068117</v>
      </c>
      <c r="AT33" s="3">
        <v>-0.69276742210518183</v>
      </c>
      <c r="AU33" s="3">
        <v>-7.8269967863182105E-2</v>
      </c>
      <c r="AV33" s="3">
        <v>0.87000643537158262</v>
      </c>
      <c r="AW33" s="3">
        <v>-0.4738888033165129</v>
      </c>
      <c r="AX33" s="3">
        <v>-0.1931437997904612</v>
      </c>
      <c r="AY33" s="3">
        <v>0.78081086010834344</v>
      </c>
      <c r="AZ33" s="3">
        <v>-0.45846388198311172</v>
      </c>
      <c r="BA33" s="3">
        <v>-0.35767716438527958</v>
      </c>
      <c r="BB33" s="3">
        <v>0.90546570782966562</v>
      </c>
      <c r="BC33" s="3">
        <v>-1.0108220532857419</v>
      </c>
      <c r="BD33" s="3">
        <v>-3.8057405804191782</v>
      </c>
      <c r="BE33" s="3">
        <v>0.49882327726974551</v>
      </c>
      <c r="BF33" s="3">
        <v>-0.31757739976175831</v>
      </c>
      <c r="BG33" s="3">
        <v>-0.33807827194887707</v>
      </c>
      <c r="BH33" s="3">
        <v>0.92704090585758159</v>
      </c>
      <c r="BI33" s="3">
        <v>-1.015202371262141</v>
      </c>
      <c r="BJ33" s="3">
        <v>-0.34872497442114819</v>
      </c>
      <c r="BK33" s="3">
        <v>0.9209009179340244</v>
      </c>
      <c r="BL33" s="3">
        <v>-1.011775577758905</v>
      </c>
      <c r="BM33" s="29">
        <f t="shared" si="0"/>
        <v>4.1282266291564181E-2</v>
      </c>
      <c r="BN33" s="29">
        <f t="shared" si="1"/>
        <v>-0.32161096040114934</v>
      </c>
      <c r="BO33" s="28">
        <f t="shared" si="2"/>
        <v>0.11756108475760794</v>
      </c>
    </row>
    <row r="34" spans="1:67" x14ac:dyDescent="0.25">
      <c r="BO34" s="25"/>
    </row>
  </sheetData>
  <autoFilter ref="A1:BL9" xr:uid="{00000000-0009-0000-0000-000000000000}">
    <sortState xmlns:xlrd2="http://schemas.microsoft.com/office/spreadsheetml/2017/richdata2" ref="A2:BL33">
      <sortCondition ref="B1:B9"/>
    </sortState>
  </autoFilter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Global vs Minibatch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Martínez</cp:lastModifiedBy>
  <dcterms:created xsi:type="dcterms:W3CDTF">2026-09-01T11:42:45Z</dcterms:created>
  <dcterms:modified xsi:type="dcterms:W3CDTF">2026-09-17T02:03:55Z</dcterms:modified>
</cp:coreProperties>
</file>