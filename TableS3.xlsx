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ros ordenadores\PUCV\Paper_hybrid_modelling\AMM\"/>
    </mc:Choice>
  </mc:AlternateContent>
  <xr:revisionPtr revIDLastSave="0" documentId="13_ncr:1_{621DBBFB-B02D-4E2E-BBB1-FDE5565CCA47}" xr6:coauthVersionLast="47" xr6:coauthVersionMax="47" xr10:uidLastSave="{00000000-0000-0000-0000-000000000000}"/>
  <bookViews>
    <workbookView xWindow="-120" yWindow="-120" windowWidth="29040" windowHeight="15720" activeTab="1" xr2:uid="{C8922A5C-B0E6-47FB-BD85-74916421C857}"/>
  </bookViews>
  <sheets>
    <sheet name="M1" sheetId="1" r:id="rId1"/>
    <sheet name="M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9" i="2" l="1"/>
  <c r="BB9" i="2"/>
  <c r="BA10" i="2"/>
  <c r="BB10" i="2"/>
  <c r="BA11" i="2"/>
  <c r="BB11" i="2"/>
  <c r="BA12" i="2"/>
  <c r="BB12" i="2"/>
  <c r="BA13" i="2"/>
  <c r="BB13" i="2"/>
  <c r="BA14" i="2"/>
  <c r="BB14" i="2"/>
  <c r="BA15" i="2"/>
  <c r="BB15" i="2"/>
  <c r="BA16" i="2"/>
  <c r="BB16" i="2"/>
  <c r="BA17" i="2"/>
  <c r="BB17" i="2"/>
  <c r="BA18" i="2"/>
  <c r="BB18" i="2"/>
  <c r="BA19" i="2"/>
  <c r="BB19" i="2"/>
  <c r="BA20" i="2"/>
  <c r="BB20" i="2"/>
  <c r="BA21" i="2"/>
  <c r="BB21" i="2"/>
  <c r="BA22" i="2"/>
  <c r="BB22" i="2"/>
  <c r="BA23" i="2"/>
  <c r="BB23" i="2"/>
  <c r="BA24" i="2"/>
  <c r="BB24" i="2"/>
  <c r="BA25" i="2"/>
  <c r="BB25" i="2"/>
  <c r="BA26" i="2"/>
  <c r="BB26" i="2"/>
  <c r="BA27" i="2"/>
  <c r="BB27" i="2"/>
  <c r="BA28" i="2"/>
  <c r="BB28" i="2"/>
  <c r="BA29" i="2"/>
  <c r="BB29" i="2"/>
  <c r="BA30" i="2"/>
  <c r="BB30" i="2"/>
  <c r="BA31" i="2"/>
  <c r="BB31" i="2"/>
  <c r="BA32" i="2"/>
  <c r="BB32" i="2"/>
  <c r="BA33" i="2"/>
  <c r="BB33" i="2"/>
  <c r="BA34" i="2"/>
  <c r="BB34" i="2"/>
  <c r="BA35" i="2"/>
  <c r="BB35" i="2"/>
  <c r="BA36" i="2"/>
  <c r="BB36" i="2"/>
  <c r="BA37" i="2"/>
  <c r="BB37" i="2"/>
  <c r="BA38" i="2"/>
  <c r="BB38" i="2"/>
  <c r="BA39" i="2"/>
  <c r="BB39" i="2"/>
  <c r="BA40" i="2"/>
  <c r="BB40" i="2"/>
  <c r="BA41" i="2"/>
  <c r="BB41" i="2"/>
  <c r="BA42" i="2"/>
  <c r="BB42" i="2"/>
  <c r="BA43" i="2"/>
  <c r="BB43" i="2"/>
  <c r="BA44" i="2"/>
  <c r="BB44" i="2"/>
  <c r="BA45" i="2"/>
  <c r="BB45" i="2"/>
  <c r="BA46" i="2"/>
  <c r="BB46" i="2"/>
  <c r="BA47" i="2"/>
  <c r="BB47" i="2"/>
  <c r="BA48" i="2"/>
  <c r="BB48" i="2"/>
  <c r="BA49" i="2"/>
  <c r="BB49" i="2"/>
  <c r="BA50" i="2"/>
  <c r="BB50" i="2"/>
  <c r="BA51" i="2"/>
  <c r="BB51" i="2"/>
  <c r="BA52" i="2"/>
  <c r="BB52" i="2"/>
  <c r="BA53" i="2"/>
  <c r="BB53" i="2"/>
  <c r="BA54" i="2"/>
  <c r="BB54" i="2"/>
  <c r="BA55" i="2"/>
  <c r="BB55" i="2"/>
  <c r="BA56" i="2"/>
  <c r="BB56" i="2"/>
  <c r="BA57" i="2"/>
  <c r="BB57" i="2"/>
  <c r="BA58" i="2"/>
  <c r="BB58" i="2"/>
  <c r="BA59" i="2"/>
  <c r="BB59" i="2"/>
  <c r="BA60" i="2"/>
  <c r="BB60" i="2"/>
  <c r="BA61" i="2"/>
  <c r="BB61" i="2"/>
  <c r="BA62" i="2"/>
  <c r="BB62" i="2"/>
  <c r="BA63" i="2"/>
  <c r="BB63" i="2"/>
  <c r="BA64" i="2"/>
  <c r="BB64" i="2"/>
  <c r="BA65" i="2"/>
  <c r="BB65" i="2"/>
  <c r="BA66" i="2"/>
  <c r="BB66" i="2"/>
  <c r="BA67" i="2"/>
  <c r="BB67" i="2"/>
  <c r="BA68" i="2"/>
  <c r="BB68" i="2"/>
  <c r="BA69" i="2"/>
  <c r="BB69" i="2"/>
  <c r="BA70" i="2"/>
  <c r="BB70" i="2"/>
  <c r="BA71" i="2"/>
  <c r="BB71" i="2"/>
  <c r="BA72" i="2"/>
  <c r="BB72" i="2"/>
  <c r="BA73" i="2"/>
  <c r="BB73" i="2"/>
  <c r="BA74" i="2"/>
  <c r="BB74" i="2"/>
  <c r="BA75" i="2"/>
  <c r="BB75" i="2"/>
  <c r="BA76" i="2"/>
  <c r="BB76" i="2"/>
  <c r="BA77" i="2"/>
  <c r="BB77" i="2"/>
  <c r="BA78" i="2"/>
  <c r="BB78" i="2"/>
  <c r="BA79" i="2"/>
  <c r="BB79" i="2"/>
  <c r="BA80" i="2"/>
  <c r="BB80" i="2"/>
  <c r="BA81" i="2"/>
  <c r="BB81" i="2"/>
  <c r="BA82" i="2"/>
  <c r="BB82" i="2"/>
  <c r="BA83" i="2"/>
  <c r="BB83" i="2"/>
  <c r="BA84" i="2"/>
  <c r="BB84" i="2"/>
  <c r="BA85" i="2"/>
  <c r="BB85" i="2"/>
  <c r="BA86" i="2"/>
  <c r="BB86" i="2"/>
  <c r="BA87" i="2"/>
  <c r="BB87" i="2"/>
  <c r="BA88" i="2"/>
  <c r="BB88" i="2"/>
  <c r="BA89" i="2"/>
  <c r="BB89" i="2"/>
  <c r="BA90" i="2"/>
  <c r="BB90" i="2"/>
  <c r="BA91" i="2"/>
  <c r="BB91" i="2"/>
  <c r="BA92" i="2"/>
  <c r="BB92" i="2"/>
  <c r="BA93" i="2"/>
  <c r="BB93" i="2"/>
  <c r="BA94" i="2"/>
  <c r="BB94" i="2"/>
  <c r="BA95" i="2"/>
  <c r="BB95" i="2"/>
  <c r="BA96" i="2"/>
  <c r="BB96" i="2"/>
  <c r="BA97" i="2"/>
  <c r="BB97" i="2"/>
  <c r="BA3" i="2"/>
  <c r="BB3" i="2"/>
  <c r="BA4" i="2"/>
  <c r="BB4" i="2"/>
  <c r="BA5" i="2"/>
  <c r="BB5" i="2"/>
  <c r="BA6" i="2"/>
  <c r="BB6" i="2"/>
  <c r="BA7" i="2"/>
  <c r="BB7" i="2"/>
  <c r="BA8" i="2"/>
  <c r="BB8" i="2"/>
  <c r="BB2" i="2"/>
  <c r="BA2" i="2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2" i="1"/>
</calcChain>
</file>

<file path=xl/sharedStrings.xml><?xml version="1.0" encoding="utf-8"?>
<sst xmlns="http://schemas.openxmlformats.org/spreadsheetml/2006/main" count="1062" uniqueCount="74">
  <si>
    <t>model</t>
  </si>
  <si>
    <t>model_label</t>
  </si>
  <si>
    <t>learning_rate</t>
  </si>
  <si>
    <t>dropout</t>
  </si>
  <si>
    <t>hidden_layers</t>
  </si>
  <si>
    <t>lambda_IC</t>
  </si>
  <si>
    <t>activation</t>
  </si>
  <si>
    <t>architecture</t>
  </si>
  <si>
    <t>n_net_parameters</t>
  </si>
  <si>
    <t>n_mech_fitted</t>
  </si>
  <si>
    <t>n_fitted_parameters</t>
  </si>
  <si>
    <t>n_obs_train</t>
  </si>
  <si>
    <t>obs_per_parameter</t>
  </si>
  <si>
    <t>seed</t>
  </si>
  <si>
    <t>diverged</t>
  </si>
  <si>
    <t>epochs_completed</t>
  </si>
  <si>
    <t>best_epoch</t>
  </si>
  <si>
    <t>best_validation_loss</t>
  </si>
  <si>
    <t>train_loss_at_best</t>
  </si>
  <si>
    <t>test_loss_at_best</t>
  </si>
  <si>
    <t>final_train_loss</t>
  </si>
  <si>
    <t>final_validation_loss</t>
  </si>
  <si>
    <t>ic_deviation_rms</t>
  </si>
  <si>
    <t>cpu_time_s</t>
  </si>
  <si>
    <t>wall_time_s</t>
  </si>
  <si>
    <t>any_negative_state</t>
  </si>
  <si>
    <t>min_X</t>
  </si>
  <si>
    <t>min_G</t>
  </si>
  <si>
    <t>min_E</t>
  </si>
  <si>
    <t>min_P</t>
  </si>
  <si>
    <t>r2_train_b0_X</t>
  </si>
  <si>
    <t>r2_train_b0_G</t>
  </si>
  <si>
    <t>r2_train_b0_E</t>
  </si>
  <si>
    <t>r2_train_b0_P</t>
  </si>
  <si>
    <t>r2_train_b2_X</t>
  </si>
  <si>
    <t>r2_train_b2_G</t>
  </si>
  <si>
    <t>r2_train_b2_E</t>
  </si>
  <si>
    <t>r2_train_b2_P</t>
  </si>
  <si>
    <t>r2_train_b3_X</t>
  </si>
  <si>
    <t>r2_train_b3_G</t>
  </si>
  <si>
    <t>r2_train_b3_E</t>
  </si>
  <si>
    <t>r2_train_b3_P</t>
  </si>
  <si>
    <t>r2_valid_b1_X</t>
  </si>
  <si>
    <t>r2_valid_b1_G</t>
  </si>
  <si>
    <t>r2_valid_b1_E</t>
  </si>
  <si>
    <t>r2_valid_b1_P</t>
  </si>
  <si>
    <t>M1</t>
  </si>
  <si>
    <t>M1 Proposed framework</t>
  </si>
  <si>
    <t>5</t>
  </si>
  <si>
    <t>relu</t>
  </si>
  <si>
    <t>4-5-6</t>
  </si>
  <si>
    <t>tanh</t>
  </si>
  <si>
    <t>5-5</t>
  </si>
  <si>
    <t>4-5-5-6</t>
  </si>
  <si>
    <t>7-7-7</t>
  </si>
  <si>
    <t>4-7-7-7-6</t>
  </si>
  <si>
    <t>7-7-7-7</t>
  </si>
  <si>
    <t>4-7-7-7-7-6</t>
  </si>
  <si>
    <t>mech_Y_XG_fixed</t>
  </si>
  <si>
    <t>mech_Y_XE_fixed</t>
  </si>
  <si>
    <t>mech_Y_EG_fixed</t>
  </si>
  <si>
    <t>mech_k_d</t>
  </si>
  <si>
    <t>mech_alpha</t>
  </si>
  <si>
    <t>mech_beta</t>
  </si>
  <si>
    <t>M2</t>
  </si>
  <si>
    <t>M2 Hybridized Liu model</t>
  </si>
  <si>
    <t>4-5-3</t>
  </si>
  <si>
    <t>4-5-5-3</t>
  </si>
  <si>
    <t>4-7-7-7-3</t>
  </si>
  <si>
    <t>4-7-7-7-7-3</t>
  </si>
  <si>
    <t>r2_mean_valid</t>
  </si>
  <si>
    <t>r2_mean_train</t>
  </si>
  <si>
    <t>r2_valid_mean</t>
  </si>
  <si>
    <t>r2_train_mean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</si>
</sst>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E+00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AD3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164" fontId="2" fillId="0" borderId="2" xfId="0" applyNumberFormat="1" applyFont="1" applyBorder="1"/>
    <xf numFmtId="165" fontId="2" fillId="0" borderId="2" xfId="0" applyNumberFormat="1" applyFont="1" applyBorder="1"/>
    <xf numFmtId="166" fontId="2" fillId="0" borderId="2" xfId="0" applyNumberFormat="1" applyFont="1" applyBorder="1"/>
    <xf numFmtId="0" fontId="3" fillId="3" borderId="2" xfId="0" applyFont="1" applyFill="1" applyBorder="1"/>
    <xf numFmtId="164" fontId="3" fillId="3" borderId="2" xfId="0" applyNumberFormat="1" applyFont="1" applyFill="1" applyBorder="1"/>
    <xf numFmtId="165" fontId="3" fillId="3" borderId="2" xfId="0" applyNumberFormat="1" applyFont="1" applyFill="1" applyBorder="1"/>
    <xf numFmtId="166" fontId="3" fillId="3" borderId="2" xfId="0" applyNumberFormat="1" applyFont="1" applyFill="1" applyBorder="1"/>
    <xf numFmtId="0" fontId="4" fillId="4" borderId="2" xfId="0" applyFont="1" applyFill="1" applyBorder="1"/>
    <xf numFmtId="164" fontId="4" fillId="4" borderId="2" xfId="0" applyNumberFormat="1" applyFont="1" applyFill="1" applyBorder="1"/>
    <xf numFmtId="165" fontId="4" fillId="4" borderId="2" xfId="0" applyNumberFormat="1" applyFont="1" applyFill="1" applyBorder="1"/>
    <xf numFmtId="166" fontId="4" fillId="4" borderId="2" xfId="0" applyNumberFormat="1" applyFont="1" applyFill="1" applyBorder="1"/>
    <xf numFmtId="0" fontId="0" fillId="4" borderId="0" xfId="0" applyFill="1"/>
    <xf numFmtId="0" fontId="1" fillId="2" borderId="3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68D98-48FC-4FA1-9971-303B86312A03}">
  <dimension ref="A1:AV97"/>
  <sheetViews>
    <sheetView topLeftCell="AD1" workbookViewId="0">
      <selection activeCell="AV2" sqref="AV2:AV97"/>
    </sheetView>
  </sheetViews>
  <sheetFormatPr baseColWidth="10" defaultRowHeight="15" x14ac:dyDescent="0.25"/>
  <cols>
    <col min="2" max="2" width="13.7109375" customWidth="1"/>
    <col min="3" max="3" width="19.42578125" customWidth="1"/>
    <col min="47" max="47" width="15.7109375" customWidth="1"/>
    <col min="48" max="48" width="15.28515625" customWidth="1"/>
  </cols>
  <sheetData>
    <row r="1" spans="1:48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5" t="s">
        <v>70</v>
      </c>
      <c r="AV1" s="15" t="s">
        <v>71</v>
      </c>
    </row>
    <row r="2" spans="1:48" x14ac:dyDescent="0.25">
      <c r="A2" s="2" t="s">
        <v>46</v>
      </c>
      <c r="B2" s="2" t="s">
        <v>47</v>
      </c>
      <c r="C2" s="3">
        <v>1E-3</v>
      </c>
      <c r="D2" s="3">
        <v>0.1</v>
      </c>
      <c r="E2" s="2" t="s">
        <v>48</v>
      </c>
      <c r="F2" s="3">
        <v>1</v>
      </c>
      <c r="G2" s="2" t="s">
        <v>49</v>
      </c>
      <c r="H2" s="2" t="s">
        <v>50</v>
      </c>
      <c r="I2" s="2">
        <v>61</v>
      </c>
      <c r="J2" s="2">
        <v>0</v>
      </c>
      <c r="K2" s="2">
        <v>67</v>
      </c>
      <c r="L2" s="2">
        <v>156</v>
      </c>
      <c r="M2" s="2">
        <v>2.5569999999999999</v>
      </c>
      <c r="N2" s="2">
        <v>1</v>
      </c>
      <c r="O2" s="2">
        <v>1</v>
      </c>
      <c r="P2" s="2">
        <v>282</v>
      </c>
      <c r="Q2" s="2">
        <v>36</v>
      </c>
      <c r="R2" s="4">
        <v>3.1377766132354741</v>
      </c>
      <c r="S2" s="4">
        <v>3.67155663172404</v>
      </c>
      <c r="T2" s="4"/>
      <c r="U2" s="4">
        <v>1.266157646973928</v>
      </c>
      <c r="V2" s="4"/>
      <c r="W2" s="4">
        <v>4.6643551439046797E-2</v>
      </c>
      <c r="X2" s="5">
        <v>21.715763319999951</v>
      </c>
      <c r="Y2" s="5">
        <v>38.947274334001122</v>
      </c>
      <c r="Z2" s="2">
        <v>0</v>
      </c>
      <c r="AA2" s="3">
        <v>0.17652326822280881</v>
      </c>
      <c r="AB2" s="3">
        <v>4.9982056953010005E-4</v>
      </c>
      <c r="AC2" s="3">
        <v>0</v>
      </c>
      <c r="AD2" s="3">
        <v>0</v>
      </c>
      <c r="AE2" s="3">
        <v>-2.6672113162989399</v>
      </c>
      <c r="AF2" s="3">
        <v>0.72941628392735236</v>
      </c>
      <c r="AG2" s="3">
        <v>0.21978155027576171</v>
      </c>
      <c r="AH2" s="3">
        <v>0.25962734078575023</v>
      </c>
      <c r="AI2" s="3">
        <v>-3.0143011302924489</v>
      </c>
      <c r="AJ2" s="3">
        <v>0.37508772446669969</v>
      </c>
      <c r="AK2" s="3">
        <v>-0.109796063917577</v>
      </c>
      <c r="AL2" s="3">
        <v>-0.2067559641260279</v>
      </c>
      <c r="AM2" s="3">
        <v>-2.850340021181589</v>
      </c>
      <c r="AN2" s="3">
        <v>0.75125702917444215</v>
      </c>
      <c r="AO2" s="3">
        <v>0.22792320419523179</v>
      </c>
      <c r="AP2" s="3">
        <v>0.51380132718369276</v>
      </c>
      <c r="AQ2" s="3">
        <v>-2.5285250727482769</v>
      </c>
      <c r="AR2" s="3">
        <v>0.21302474377281</v>
      </c>
      <c r="AS2" s="3">
        <v>-0.1381178582182058</v>
      </c>
      <c r="AT2" s="3">
        <v>0.55482942129677593</v>
      </c>
      <c r="AU2" s="16">
        <f>AVERAGE(AQ2:AT2)</f>
        <v>-0.47469719147422418</v>
      </c>
      <c r="AV2" s="16">
        <f>AVERAGE(AE2:AP2)</f>
        <v>-0.48095916965063767</v>
      </c>
    </row>
    <row r="3" spans="1:48" x14ac:dyDescent="0.25">
      <c r="A3" s="2" t="s">
        <v>46</v>
      </c>
      <c r="B3" s="2" t="s">
        <v>47</v>
      </c>
      <c r="C3" s="3">
        <v>1E-3</v>
      </c>
      <c r="D3" s="3">
        <v>0.1</v>
      </c>
      <c r="E3" s="2" t="s">
        <v>48</v>
      </c>
      <c r="F3" s="3">
        <v>1</v>
      </c>
      <c r="G3" s="2" t="s">
        <v>51</v>
      </c>
      <c r="H3" s="2" t="s">
        <v>50</v>
      </c>
      <c r="I3" s="2">
        <v>61</v>
      </c>
      <c r="J3" s="2">
        <v>0</v>
      </c>
      <c r="K3" s="2">
        <v>67</v>
      </c>
      <c r="L3" s="2">
        <v>156</v>
      </c>
      <c r="M3" s="2">
        <v>2.5569999999999999</v>
      </c>
      <c r="N3" s="2">
        <v>1</v>
      </c>
      <c r="O3" s="2">
        <v>1</v>
      </c>
      <c r="P3" s="2">
        <v>4</v>
      </c>
      <c r="Q3" s="2">
        <v>3</v>
      </c>
      <c r="R3" s="4">
        <v>3.4907627105712891</v>
      </c>
      <c r="S3" s="4">
        <v>5.9776473045349121</v>
      </c>
      <c r="T3" s="4"/>
      <c r="U3" s="4"/>
      <c r="V3" s="4"/>
      <c r="W3" s="4">
        <v>5.6122401729226E-3</v>
      </c>
      <c r="X3" s="5">
        <v>20.694123399000091</v>
      </c>
      <c r="Y3" s="5">
        <v>21.826032297998609</v>
      </c>
      <c r="Z3" s="2">
        <v>0</v>
      </c>
      <c r="AA3" s="3">
        <v>0.10477990657091139</v>
      </c>
      <c r="AB3" s="3">
        <v>1.3919821977615361</v>
      </c>
      <c r="AC3" s="3">
        <v>0</v>
      </c>
      <c r="AD3" s="3">
        <v>0</v>
      </c>
      <c r="AE3" s="3">
        <v>-2.9864360129780811</v>
      </c>
      <c r="AF3" s="3">
        <v>0.77877901671020211</v>
      </c>
      <c r="AG3" s="3">
        <v>-0.45737281238099281</v>
      </c>
      <c r="AH3" s="3">
        <v>-0.28586376385136392</v>
      </c>
      <c r="AI3" s="3">
        <v>-3.387151966444427</v>
      </c>
      <c r="AJ3" s="3">
        <v>-1.2149308760080491</v>
      </c>
      <c r="AK3" s="3">
        <v>-0.41311460938217509</v>
      </c>
      <c r="AL3" s="3">
        <v>-0.9491826505937544</v>
      </c>
      <c r="AM3" s="3">
        <v>-3.0625151533964101</v>
      </c>
      <c r="AN3" s="3">
        <v>0.84436843048365207</v>
      </c>
      <c r="AO3" s="3">
        <v>-0.59971616743725265</v>
      </c>
      <c r="AP3" s="3">
        <v>-0.44783324703876892</v>
      </c>
      <c r="AQ3" s="3">
        <v>-2.897338556937997</v>
      </c>
      <c r="AR3" s="3">
        <v>0.6154883738657374</v>
      </c>
      <c r="AS3" s="3">
        <v>-0.36456787678442731</v>
      </c>
      <c r="AT3" s="3">
        <v>-0.2528235476167362</v>
      </c>
      <c r="AU3" s="16">
        <f t="shared" ref="AU3:AU66" si="0">AVERAGE(AQ3:AT3)</f>
        <v>-0.72481040186835577</v>
      </c>
      <c r="AV3" s="16">
        <f t="shared" ref="AV3:AV66" si="1">AVERAGE(AE3:AP3)</f>
        <v>-1.0150808176931185</v>
      </c>
    </row>
    <row r="4" spans="1:48" x14ac:dyDescent="0.25">
      <c r="A4" s="2" t="s">
        <v>46</v>
      </c>
      <c r="B4" s="2" t="s">
        <v>47</v>
      </c>
      <c r="C4" s="3">
        <v>1E-3</v>
      </c>
      <c r="D4" s="3">
        <v>0.1</v>
      </c>
      <c r="E4" s="2" t="s">
        <v>52</v>
      </c>
      <c r="F4" s="3">
        <v>1</v>
      </c>
      <c r="G4" s="2" t="s">
        <v>49</v>
      </c>
      <c r="H4" s="2" t="s">
        <v>53</v>
      </c>
      <c r="I4" s="2">
        <v>91</v>
      </c>
      <c r="J4" s="2">
        <v>0</v>
      </c>
      <c r="K4" s="2">
        <v>97</v>
      </c>
      <c r="L4" s="2">
        <v>156</v>
      </c>
      <c r="M4" s="2">
        <v>1.714</v>
      </c>
      <c r="N4" s="2">
        <v>1</v>
      </c>
      <c r="O4" s="2">
        <v>0</v>
      </c>
      <c r="P4" s="2">
        <v>10000</v>
      </c>
      <c r="Q4" s="2">
        <v>371</v>
      </c>
      <c r="R4" s="4">
        <v>1.8360199928283689</v>
      </c>
      <c r="S4" s="4">
        <v>1.9801446994145711</v>
      </c>
      <c r="T4" s="4"/>
      <c r="U4" s="4">
        <v>3.2838534514109292</v>
      </c>
      <c r="V4" s="4">
        <v>3.3368268013000488</v>
      </c>
      <c r="W4" s="4">
        <v>0.1070758178830146</v>
      </c>
      <c r="X4" s="5">
        <v>94.372408771000195</v>
      </c>
      <c r="Y4" s="5">
        <v>624.66984340999988</v>
      </c>
      <c r="Z4" s="2">
        <v>0</v>
      </c>
      <c r="AA4" s="3">
        <v>0.3256075382232666</v>
      </c>
      <c r="AB4" s="3">
        <v>4.207772796860354E-9</v>
      </c>
      <c r="AC4" s="3">
        <v>0</v>
      </c>
      <c r="AD4" s="3">
        <v>0</v>
      </c>
      <c r="AE4" s="3">
        <v>-2.0437326342429558</v>
      </c>
      <c r="AF4" s="3">
        <v>0.89002085858163926</v>
      </c>
      <c r="AG4" s="3">
        <v>0.54737870928762822</v>
      </c>
      <c r="AH4" s="3">
        <v>0.62198074309908358</v>
      </c>
      <c r="AI4" s="3">
        <v>-1.8124327265601721</v>
      </c>
      <c r="AJ4" s="3">
        <v>0.85069588719955647</v>
      </c>
      <c r="AK4" s="3">
        <v>0.51708304978327191</v>
      </c>
      <c r="AL4" s="3">
        <v>0.55652701180455288</v>
      </c>
      <c r="AM4" s="3">
        <v>-2.1849015742899729</v>
      </c>
      <c r="AN4" s="3">
        <v>0.89729683370108282</v>
      </c>
      <c r="AO4" s="3">
        <v>0.63450205149064709</v>
      </c>
      <c r="AP4" s="3">
        <v>0.83863299733413676</v>
      </c>
      <c r="AQ4" s="3">
        <v>-2.0996016128285708</v>
      </c>
      <c r="AR4" s="3">
        <v>0.88170850880724405</v>
      </c>
      <c r="AS4" s="3">
        <v>0.23330219407082689</v>
      </c>
      <c r="AT4" s="3">
        <v>0.87873056936107974</v>
      </c>
      <c r="AU4" s="16">
        <f t="shared" si="0"/>
        <v>-2.6465085147355044E-2</v>
      </c>
      <c r="AV4" s="16">
        <f t="shared" si="1"/>
        <v>2.608760059904151E-2</v>
      </c>
    </row>
    <row r="5" spans="1:48" x14ac:dyDescent="0.25">
      <c r="A5" s="2" t="s">
        <v>46</v>
      </c>
      <c r="B5" s="2" t="s">
        <v>47</v>
      </c>
      <c r="C5" s="3">
        <v>1E-3</v>
      </c>
      <c r="D5" s="3">
        <v>0.1</v>
      </c>
      <c r="E5" s="2" t="s">
        <v>52</v>
      </c>
      <c r="F5" s="3">
        <v>1</v>
      </c>
      <c r="G5" s="2" t="s">
        <v>51</v>
      </c>
      <c r="H5" s="2" t="s">
        <v>53</v>
      </c>
      <c r="I5" s="2">
        <v>91</v>
      </c>
      <c r="J5" s="2">
        <v>0</v>
      </c>
      <c r="K5" s="2">
        <v>97</v>
      </c>
      <c r="L5" s="2">
        <v>156</v>
      </c>
      <c r="M5" s="2">
        <v>1.714</v>
      </c>
      <c r="N5" s="2">
        <v>1</v>
      </c>
      <c r="O5" s="2">
        <v>0</v>
      </c>
      <c r="P5" s="2">
        <v>10000</v>
      </c>
      <c r="Q5" s="2">
        <v>717</v>
      </c>
      <c r="R5" s="4">
        <v>1.9546501636505129</v>
      </c>
      <c r="S5" s="4">
        <v>0.76964408159255981</v>
      </c>
      <c r="T5" s="4"/>
      <c r="U5" s="4">
        <v>0.59280556440353394</v>
      </c>
      <c r="V5" s="4">
        <v>2.869005441665649</v>
      </c>
      <c r="W5" s="4">
        <v>0.11887130886316299</v>
      </c>
      <c r="X5" s="5">
        <v>98.717713163999633</v>
      </c>
      <c r="Y5" s="5">
        <v>926.33873691199915</v>
      </c>
      <c r="Z5" s="2">
        <v>0</v>
      </c>
      <c r="AA5" s="3">
        <v>0.249251514673233</v>
      </c>
      <c r="AB5" s="3">
        <v>-3.3487822292954661E-8</v>
      </c>
      <c r="AC5" s="3">
        <v>-2.4775374640739761E-7</v>
      </c>
      <c r="AD5" s="3">
        <v>0</v>
      </c>
      <c r="AE5" s="3">
        <v>2.2894857497120901E-2</v>
      </c>
      <c r="AF5" s="3">
        <v>0.91254233989422762</v>
      </c>
      <c r="AG5" s="3">
        <v>0.76235671333784327</v>
      </c>
      <c r="AH5" s="3">
        <v>0.98928019555618585</v>
      </c>
      <c r="AI5" s="3">
        <v>-0.113738866109208</v>
      </c>
      <c r="AJ5" s="3">
        <v>0.89101555760551188</v>
      </c>
      <c r="AK5" s="3">
        <v>0.88814548047605912</v>
      </c>
      <c r="AL5" s="3">
        <v>0.97529416107447919</v>
      </c>
      <c r="AM5" s="3">
        <v>-0.1813822999306387</v>
      </c>
      <c r="AN5" s="3">
        <v>0.96072019705295919</v>
      </c>
      <c r="AO5" s="3">
        <v>0.73365865055646151</v>
      </c>
      <c r="AP5" s="3">
        <v>0.92796406350163096</v>
      </c>
      <c r="AQ5" s="3">
        <v>0.40498658772569929</v>
      </c>
      <c r="AR5" s="3">
        <v>0.62612311754744954</v>
      </c>
      <c r="AS5" s="3">
        <v>-0.45759083836031222</v>
      </c>
      <c r="AT5" s="3">
        <v>0.84165152838368484</v>
      </c>
      <c r="AU5" s="16">
        <f t="shared" si="0"/>
        <v>0.35379259882413039</v>
      </c>
      <c r="AV5" s="16">
        <f t="shared" si="1"/>
        <v>0.64739592087605269</v>
      </c>
    </row>
    <row r="6" spans="1:48" x14ac:dyDescent="0.25">
      <c r="A6" s="2" t="s">
        <v>46</v>
      </c>
      <c r="B6" s="2" t="s">
        <v>47</v>
      </c>
      <c r="C6" s="3">
        <v>1E-3</v>
      </c>
      <c r="D6" s="3">
        <v>0.1</v>
      </c>
      <c r="E6" s="2" t="s">
        <v>54</v>
      </c>
      <c r="F6" s="3">
        <v>1</v>
      </c>
      <c r="G6" s="2" t="s">
        <v>49</v>
      </c>
      <c r="H6" s="2" t="s">
        <v>55</v>
      </c>
      <c r="I6" s="2">
        <v>195</v>
      </c>
      <c r="J6" s="2">
        <v>0</v>
      </c>
      <c r="K6" s="2">
        <v>201</v>
      </c>
      <c r="L6" s="2">
        <v>156</v>
      </c>
      <c r="M6" s="2">
        <v>0.8</v>
      </c>
      <c r="N6" s="2">
        <v>1</v>
      </c>
      <c r="O6" s="2">
        <v>1</v>
      </c>
      <c r="P6" s="2">
        <v>1378</v>
      </c>
      <c r="Q6" s="2">
        <v>1372</v>
      </c>
      <c r="R6" s="4">
        <v>2.2262165546417241</v>
      </c>
      <c r="S6" s="4">
        <v>0.90086275339126598</v>
      </c>
      <c r="T6" s="4"/>
      <c r="U6" s="4">
        <v>5.7043502330780029</v>
      </c>
      <c r="V6" s="4"/>
      <c r="W6" s="4">
        <v>0.1246384680271148</v>
      </c>
      <c r="X6" s="5">
        <v>33.283250515000873</v>
      </c>
      <c r="Y6" s="5">
        <v>172.21210270899971</v>
      </c>
      <c r="Z6" s="2">
        <v>0</v>
      </c>
      <c r="AA6" s="3">
        <v>0.22354632616043091</v>
      </c>
      <c r="AB6" s="3">
        <v>-8.9587501861387864E-8</v>
      </c>
      <c r="AC6" s="3">
        <v>-3.3548712963238358E-7</v>
      </c>
      <c r="AD6" s="3">
        <v>0</v>
      </c>
      <c r="AE6" s="3">
        <v>-0.54742242441284894</v>
      </c>
      <c r="AF6" s="3">
        <v>0.95457648095673997</v>
      </c>
      <c r="AG6" s="3">
        <v>0.80755919452608316</v>
      </c>
      <c r="AH6" s="3">
        <v>0.89261595557038076</v>
      </c>
      <c r="AI6" s="3">
        <v>-0.60460206018762674</v>
      </c>
      <c r="AJ6" s="3">
        <v>0.91986624997559496</v>
      </c>
      <c r="AK6" s="3">
        <v>0.96053749502903241</v>
      </c>
      <c r="AL6" s="3">
        <v>0.8797498054979872</v>
      </c>
      <c r="AM6" s="3">
        <v>-0.93349074076263439</v>
      </c>
      <c r="AN6" s="3">
        <v>0.98126119967330117</v>
      </c>
      <c r="AO6" s="3">
        <v>0.72747526153340658</v>
      </c>
      <c r="AP6" s="3">
        <v>0.77028109189961325</v>
      </c>
      <c r="AQ6" s="3">
        <v>-4.0093415730085999E-2</v>
      </c>
      <c r="AR6" s="3">
        <v>0.62254502845912607</v>
      </c>
      <c r="AS6" s="3">
        <v>-0.58934353823017327</v>
      </c>
      <c r="AT6" s="3">
        <v>0.82123291885968053</v>
      </c>
      <c r="AU6" s="16">
        <f t="shared" si="0"/>
        <v>0.20358524833963684</v>
      </c>
      <c r="AV6" s="16">
        <f t="shared" si="1"/>
        <v>0.48403395910825237</v>
      </c>
    </row>
    <row r="7" spans="1:48" x14ac:dyDescent="0.25">
      <c r="A7" s="2" t="s">
        <v>46</v>
      </c>
      <c r="B7" s="2" t="s">
        <v>47</v>
      </c>
      <c r="C7" s="3">
        <v>1E-3</v>
      </c>
      <c r="D7" s="3">
        <v>0.1</v>
      </c>
      <c r="E7" s="2" t="s">
        <v>54</v>
      </c>
      <c r="F7" s="3">
        <v>1</v>
      </c>
      <c r="G7" s="2" t="s">
        <v>51</v>
      </c>
      <c r="H7" s="2" t="s">
        <v>55</v>
      </c>
      <c r="I7" s="2">
        <v>195</v>
      </c>
      <c r="J7" s="2">
        <v>0</v>
      </c>
      <c r="K7" s="2">
        <v>201</v>
      </c>
      <c r="L7" s="2">
        <v>156</v>
      </c>
      <c r="M7" s="2">
        <v>0.8</v>
      </c>
      <c r="N7" s="2">
        <v>1</v>
      </c>
      <c r="O7" s="2">
        <v>1</v>
      </c>
      <c r="P7" s="2">
        <v>313</v>
      </c>
      <c r="Q7" s="2">
        <v>171</v>
      </c>
      <c r="R7" s="4">
        <v>2.6438663005828862</v>
      </c>
      <c r="S7" s="4">
        <v>1.0425341327985129</v>
      </c>
      <c r="T7" s="4"/>
      <c r="U7" s="4"/>
      <c r="V7" s="4"/>
      <c r="W7" s="4">
        <v>0.1348249763250351</v>
      </c>
      <c r="X7" s="5">
        <v>32.339235688000372</v>
      </c>
      <c r="Y7" s="5">
        <v>54.249904568998318</v>
      </c>
      <c r="Z7" s="2">
        <v>0</v>
      </c>
      <c r="AA7" s="3">
        <v>0.1761802732944488</v>
      </c>
      <c r="AB7" s="3">
        <v>-3.050291184081289E-7</v>
      </c>
      <c r="AC7" s="3">
        <v>0</v>
      </c>
      <c r="AD7" s="3">
        <v>0</v>
      </c>
      <c r="AE7" s="3">
        <v>8.9190499409374097E-2</v>
      </c>
      <c r="AF7" s="3">
        <v>0.96255685122718415</v>
      </c>
      <c r="AG7" s="3">
        <v>0.78475277367189022</v>
      </c>
      <c r="AH7" s="3">
        <v>0.88771696854356508</v>
      </c>
      <c r="AI7" s="3">
        <v>0.19299987469441229</v>
      </c>
      <c r="AJ7" s="3">
        <v>0.89790436535093587</v>
      </c>
      <c r="AK7" s="3">
        <v>0.72515188489626725</v>
      </c>
      <c r="AL7" s="3">
        <v>0.9174029069886328</v>
      </c>
      <c r="AM7" s="3">
        <v>-0.4246377395153566</v>
      </c>
      <c r="AN7" s="3">
        <v>0.91662953888739518</v>
      </c>
      <c r="AO7" s="3">
        <v>0.50320233774062362</v>
      </c>
      <c r="AP7" s="3">
        <v>0.5752433845149787</v>
      </c>
      <c r="AQ7" s="3">
        <v>-0.23874622738344509</v>
      </c>
      <c r="AR7" s="3">
        <v>0.64986257878337006</v>
      </c>
      <c r="AS7" s="3">
        <v>-0.8350825717740582</v>
      </c>
      <c r="AT7" s="3">
        <v>0.51970578309568949</v>
      </c>
      <c r="AU7" s="16">
        <f t="shared" si="0"/>
        <v>2.3934890680389065E-2</v>
      </c>
      <c r="AV7" s="16">
        <f t="shared" si="1"/>
        <v>0.58567613720082534</v>
      </c>
    </row>
    <row r="8" spans="1:48" x14ac:dyDescent="0.25">
      <c r="A8" s="2" t="s">
        <v>46</v>
      </c>
      <c r="B8" s="2" t="s">
        <v>47</v>
      </c>
      <c r="C8" s="3">
        <v>1E-3</v>
      </c>
      <c r="D8" s="3">
        <v>0.1</v>
      </c>
      <c r="E8" s="2" t="s">
        <v>56</v>
      </c>
      <c r="F8" s="3">
        <v>1</v>
      </c>
      <c r="G8" s="2" t="s">
        <v>49</v>
      </c>
      <c r="H8" s="2" t="s">
        <v>57</v>
      </c>
      <c r="I8" s="2">
        <v>251</v>
      </c>
      <c r="J8" s="2">
        <v>0</v>
      </c>
      <c r="K8" s="2">
        <v>257</v>
      </c>
      <c r="L8" s="2">
        <v>156</v>
      </c>
      <c r="M8" s="2">
        <v>0.622</v>
      </c>
      <c r="N8" s="2">
        <v>1</v>
      </c>
      <c r="O8" s="2">
        <v>1</v>
      </c>
      <c r="P8" s="2">
        <v>191</v>
      </c>
      <c r="Q8" s="2">
        <v>113</v>
      </c>
      <c r="R8" s="4">
        <v>3.003592729568481</v>
      </c>
      <c r="S8" s="4">
        <v>3.2714848518371582</v>
      </c>
      <c r="T8" s="4"/>
      <c r="U8" s="4">
        <v>3.2271102269490561</v>
      </c>
      <c r="V8" s="4"/>
      <c r="W8" s="4">
        <v>0.1058358028531074</v>
      </c>
      <c r="X8" s="5">
        <v>26.852746001000011</v>
      </c>
      <c r="Y8" s="5">
        <v>35.123516643001487</v>
      </c>
      <c r="Z8" s="2">
        <v>0</v>
      </c>
      <c r="AA8" s="3">
        <v>0.28000360727310181</v>
      </c>
      <c r="AB8" s="3">
        <v>-1.6660578694427389E-8</v>
      </c>
      <c r="AC8" s="3">
        <v>0</v>
      </c>
      <c r="AD8" s="3">
        <v>0</v>
      </c>
      <c r="AE8" s="3">
        <v>-1.4796245652247031</v>
      </c>
      <c r="AF8" s="3">
        <v>0.79637476232745885</v>
      </c>
      <c r="AG8" s="3">
        <v>-4.5416403922711103E-2</v>
      </c>
      <c r="AH8" s="3">
        <v>0.27533148360557042</v>
      </c>
      <c r="AI8" s="3">
        <v>-1.591612492830349</v>
      </c>
      <c r="AJ8" s="3">
        <v>0.87617594776414143</v>
      </c>
      <c r="AK8" s="3">
        <v>-0.1069972088321378</v>
      </c>
      <c r="AL8" s="3">
        <v>0.25912402330814199</v>
      </c>
      <c r="AM8" s="3">
        <v>-1.55531696742838</v>
      </c>
      <c r="AN8" s="3">
        <v>0.76564552655605889</v>
      </c>
      <c r="AO8" s="3">
        <v>-0.2901029514360966</v>
      </c>
      <c r="AP8" s="3">
        <v>0.29084085353115108</v>
      </c>
      <c r="AQ8" s="3">
        <v>-1.103972298535975</v>
      </c>
      <c r="AR8" s="3">
        <v>0.3136559179252934</v>
      </c>
      <c r="AS8" s="3">
        <v>-0.58958376263371615</v>
      </c>
      <c r="AT8" s="3">
        <v>0.55545670276152115</v>
      </c>
      <c r="AU8" s="16">
        <f t="shared" si="0"/>
        <v>-0.20611086012071916</v>
      </c>
      <c r="AV8" s="16">
        <f t="shared" si="1"/>
        <v>-0.1504648327151546</v>
      </c>
    </row>
    <row r="9" spans="1:48" x14ac:dyDescent="0.25">
      <c r="A9" s="6" t="s">
        <v>46</v>
      </c>
      <c r="B9" s="6" t="s">
        <v>47</v>
      </c>
      <c r="C9" s="7">
        <v>1E-3</v>
      </c>
      <c r="D9" s="7">
        <v>0.1</v>
      </c>
      <c r="E9" s="6" t="s">
        <v>56</v>
      </c>
      <c r="F9" s="7">
        <v>1</v>
      </c>
      <c r="G9" s="6" t="s">
        <v>51</v>
      </c>
      <c r="H9" s="6" t="s">
        <v>57</v>
      </c>
      <c r="I9" s="6">
        <v>251</v>
      </c>
      <c r="J9" s="6">
        <v>0</v>
      </c>
      <c r="K9" s="6">
        <v>257</v>
      </c>
      <c r="L9" s="6">
        <v>156</v>
      </c>
      <c r="M9" s="6">
        <v>0.622</v>
      </c>
      <c r="N9" s="6">
        <v>1</v>
      </c>
      <c r="O9" s="6">
        <v>0</v>
      </c>
      <c r="P9" s="6">
        <v>10000</v>
      </c>
      <c r="Q9" s="6">
        <v>9657</v>
      </c>
      <c r="R9" s="8">
        <v>1.1358183622360229</v>
      </c>
      <c r="S9" s="8">
        <v>0.57855451107025146</v>
      </c>
      <c r="T9" s="8"/>
      <c r="U9" s="8">
        <v>0.33116803814967471</v>
      </c>
      <c r="V9" s="8">
        <v>1.554280638694763</v>
      </c>
      <c r="W9" s="8">
        <v>7.1863003075122805E-2</v>
      </c>
      <c r="X9" s="9">
        <v>103.4423604590002</v>
      </c>
      <c r="Y9" s="9">
        <v>839.45557049199851</v>
      </c>
      <c r="Z9" s="6">
        <v>0</v>
      </c>
      <c r="AA9" s="7">
        <v>0.36626425385475159</v>
      </c>
      <c r="AB9" s="7">
        <v>-9.5981178560577953E-10</v>
      </c>
      <c r="AC9" s="7">
        <v>0</v>
      </c>
      <c r="AD9" s="7">
        <v>0</v>
      </c>
      <c r="AE9" s="7">
        <v>0.82205577289607978</v>
      </c>
      <c r="AF9" s="7">
        <v>0.97146999022436997</v>
      </c>
      <c r="AG9" s="7">
        <v>0.79822255620450566</v>
      </c>
      <c r="AH9" s="7">
        <v>0.95989763445500464</v>
      </c>
      <c r="AI9" s="7">
        <v>0.92018099002676101</v>
      </c>
      <c r="AJ9" s="7">
        <v>0.90994158704706485</v>
      </c>
      <c r="AK9" s="7">
        <v>0.69161304188204165</v>
      </c>
      <c r="AL9" s="7">
        <v>0.93288972530108261</v>
      </c>
      <c r="AM9" s="7">
        <v>0.75508803813159675</v>
      </c>
      <c r="AN9" s="7">
        <v>0.88374744128829652</v>
      </c>
      <c r="AO9" s="7">
        <v>0.86694151038133371</v>
      </c>
      <c r="AP9" s="7">
        <v>0.91162946308231019</v>
      </c>
      <c r="AQ9" s="7">
        <v>0.83287029800977985</v>
      </c>
      <c r="AR9" s="7">
        <v>0.91520692830380235</v>
      </c>
      <c r="AS9" s="7">
        <v>-9.4458657098783899E-2</v>
      </c>
      <c r="AT9" s="7">
        <v>0.97772073489124078</v>
      </c>
      <c r="AU9" s="16">
        <f t="shared" si="0"/>
        <v>0.65783482602650978</v>
      </c>
      <c r="AV9" s="16">
        <f t="shared" si="1"/>
        <v>0.86863981257670397</v>
      </c>
    </row>
    <row r="10" spans="1:48" x14ac:dyDescent="0.25">
      <c r="A10" s="2" t="s">
        <v>46</v>
      </c>
      <c r="B10" s="2" t="s">
        <v>47</v>
      </c>
      <c r="C10" s="3">
        <v>1E-3</v>
      </c>
      <c r="D10" s="3">
        <v>0.3</v>
      </c>
      <c r="E10" s="2" t="s">
        <v>48</v>
      </c>
      <c r="F10" s="3">
        <v>1</v>
      </c>
      <c r="G10" s="2" t="s">
        <v>49</v>
      </c>
      <c r="H10" s="2" t="s">
        <v>50</v>
      </c>
      <c r="I10" s="2">
        <v>61</v>
      </c>
      <c r="J10" s="2">
        <v>0</v>
      </c>
      <c r="K10" s="2">
        <v>67</v>
      </c>
      <c r="L10" s="2">
        <v>156</v>
      </c>
      <c r="M10" s="2">
        <v>2.5569999999999999</v>
      </c>
      <c r="N10" s="2">
        <v>1</v>
      </c>
      <c r="O10" s="2">
        <v>1</v>
      </c>
      <c r="P10" s="2">
        <v>701</v>
      </c>
      <c r="Q10" s="2">
        <v>663</v>
      </c>
      <c r="R10" s="4">
        <v>2.7810418605804439</v>
      </c>
      <c r="S10" s="4">
        <v>1.4773745536804199</v>
      </c>
      <c r="T10" s="4"/>
      <c r="U10" s="4"/>
      <c r="V10" s="4"/>
      <c r="W10" s="4">
        <v>0.1255918741226196</v>
      </c>
      <c r="X10" s="5">
        <v>26.9305011890001</v>
      </c>
      <c r="Y10" s="5">
        <v>86.236055385998043</v>
      </c>
      <c r="Z10" s="2">
        <v>0</v>
      </c>
      <c r="AA10" s="3">
        <v>0.21102024614810941</v>
      </c>
      <c r="AB10" s="3">
        <v>-1.588614395586774E-7</v>
      </c>
      <c r="AC10" s="3">
        <v>-2.839105945895426E-7</v>
      </c>
      <c r="AD10" s="3">
        <v>0</v>
      </c>
      <c r="AE10" s="3">
        <v>-1.4035799533529021</v>
      </c>
      <c r="AF10" s="3">
        <v>0.92803914023776557</v>
      </c>
      <c r="AG10" s="3">
        <v>0.60991967949234249</v>
      </c>
      <c r="AH10" s="3">
        <v>0.87596092200219133</v>
      </c>
      <c r="AI10" s="3">
        <v>-1.311776118406996</v>
      </c>
      <c r="AJ10" s="3">
        <v>0.94160386696711285</v>
      </c>
      <c r="AK10" s="3">
        <v>0.83618353687487268</v>
      </c>
      <c r="AL10" s="3">
        <v>0.74055662724304949</v>
      </c>
      <c r="AM10" s="3">
        <v>-1.9299302636519411</v>
      </c>
      <c r="AN10" s="3">
        <v>0.9553311110056808</v>
      </c>
      <c r="AO10" s="3">
        <v>0.56542906175844698</v>
      </c>
      <c r="AP10" s="3">
        <v>0.63932688129495407</v>
      </c>
      <c r="AQ10" s="3">
        <v>-1.1935133743396009</v>
      </c>
      <c r="AR10" s="3">
        <v>0.58145015887793194</v>
      </c>
      <c r="AS10" s="3">
        <v>-0.7907340167303043</v>
      </c>
      <c r="AT10" s="3">
        <v>0.86921345838149233</v>
      </c>
      <c r="AU10" s="16">
        <f t="shared" si="0"/>
        <v>-0.13339594345262024</v>
      </c>
      <c r="AV10" s="16">
        <f t="shared" si="1"/>
        <v>0.20392204095538138</v>
      </c>
    </row>
    <row r="11" spans="1:48" x14ac:dyDescent="0.25">
      <c r="A11" s="2" t="s">
        <v>46</v>
      </c>
      <c r="B11" s="2" t="s">
        <v>47</v>
      </c>
      <c r="C11" s="3">
        <v>1E-3</v>
      </c>
      <c r="D11" s="3">
        <v>0.3</v>
      </c>
      <c r="E11" s="2" t="s">
        <v>48</v>
      </c>
      <c r="F11" s="3">
        <v>1</v>
      </c>
      <c r="G11" s="2" t="s">
        <v>51</v>
      </c>
      <c r="H11" s="2" t="s">
        <v>50</v>
      </c>
      <c r="I11" s="2">
        <v>61</v>
      </c>
      <c r="J11" s="2">
        <v>0</v>
      </c>
      <c r="K11" s="2">
        <v>67</v>
      </c>
      <c r="L11" s="2">
        <v>156</v>
      </c>
      <c r="M11" s="2">
        <v>2.5569999999999999</v>
      </c>
      <c r="N11" s="2">
        <v>1</v>
      </c>
      <c r="O11" s="2">
        <v>1</v>
      </c>
      <c r="P11" s="2">
        <v>5</v>
      </c>
      <c r="Q11" s="2">
        <v>2</v>
      </c>
      <c r="R11" s="4">
        <v>4.2516908645629883</v>
      </c>
      <c r="S11" s="4">
        <v>7.2783891359965009</v>
      </c>
      <c r="T11" s="4"/>
      <c r="U11" s="4"/>
      <c r="V11" s="4"/>
      <c r="W11" s="4">
        <v>3.8079537916928001E-3</v>
      </c>
      <c r="X11" s="5">
        <v>15.275552924999831</v>
      </c>
      <c r="Y11" s="5">
        <v>16.46550103999834</v>
      </c>
      <c r="Z11" s="2">
        <v>0</v>
      </c>
      <c r="AA11" s="3">
        <v>0.10273765027523039</v>
      </c>
      <c r="AB11" s="3">
        <v>2.094140768051147</v>
      </c>
      <c r="AC11" s="3">
        <v>0</v>
      </c>
      <c r="AD11" s="3">
        <v>0</v>
      </c>
      <c r="AE11" s="3">
        <v>-2.8702637437360661</v>
      </c>
      <c r="AF11" s="3">
        <v>0.53714912312414742</v>
      </c>
      <c r="AG11" s="3">
        <v>-0.55920178404458309</v>
      </c>
      <c r="AH11" s="3">
        <v>-1.639448534546565</v>
      </c>
      <c r="AI11" s="3">
        <v>-3.3577556464353471</v>
      </c>
      <c r="AJ11" s="3">
        <v>-1.782778473287423</v>
      </c>
      <c r="AK11" s="3">
        <v>-0.42691082308877121</v>
      </c>
      <c r="AL11" s="3">
        <v>-1.796922894287893</v>
      </c>
      <c r="AM11" s="3">
        <v>-2.9751051034528428</v>
      </c>
      <c r="AN11" s="3">
        <v>0.48585040977980209</v>
      </c>
      <c r="AO11" s="3">
        <v>-0.74225391182619971</v>
      </c>
      <c r="AP11" s="3">
        <v>-1.601834836867744</v>
      </c>
      <c r="AQ11" s="3">
        <v>-2.7072245727603419</v>
      </c>
      <c r="AR11" s="3">
        <v>0.87264709858326084</v>
      </c>
      <c r="AS11" s="3">
        <v>-0.67732694430523921</v>
      </c>
      <c r="AT11" s="3">
        <v>-1.7345323625634159</v>
      </c>
      <c r="AU11" s="16">
        <f t="shared" si="0"/>
        <v>-1.0616091952614339</v>
      </c>
      <c r="AV11" s="16">
        <f t="shared" si="1"/>
        <v>-1.3941230182224571</v>
      </c>
    </row>
    <row r="12" spans="1:48" x14ac:dyDescent="0.25">
      <c r="A12" s="2" t="s">
        <v>46</v>
      </c>
      <c r="B12" s="2" t="s">
        <v>47</v>
      </c>
      <c r="C12" s="3">
        <v>1E-3</v>
      </c>
      <c r="D12" s="3">
        <v>0.3</v>
      </c>
      <c r="E12" s="2" t="s">
        <v>52</v>
      </c>
      <c r="F12" s="3">
        <v>1</v>
      </c>
      <c r="G12" s="2" t="s">
        <v>49</v>
      </c>
      <c r="H12" s="2" t="s">
        <v>53</v>
      </c>
      <c r="I12" s="2">
        <v>91</v>
      </c>
      <c r="J12" s="2">
        <v>0</v>
      </c>
      <c r="K12" s="2">
        <v>97</v>
      </c>
      <c r="L12" s="2">
        <v>156</v>
      </c>
      <c r="M12" s="2">
        <v>1.714</v>
      </c>
      <c r="N12" s="2">
        <v>1</v>
      </c>
      <c r="O12" s="2">
        <v>0</v>
      </c>
      <c r="P12" s="2">
        <v>10000</v>
      </c>
      <c r="Q12" s="2">
        <v>6130</v>
      </c>
      <c r="R12" s="4">
        <v>1.341524481773376</v>
      </c>
      <c r="S12" s="4">
        <v>1.588080724080404</v>
      </c>
      <c r="T12" s="4"/>
      <c r="U12" s="4">
        <v>2.174208402633667</v>
      </c>
      <c r="V12" s="4">
        <v>3.789872407913208</v>
      </c>
      <c r="W12" s="4">
        <v>0.1106699183583259</v>
      </c>
      <c r="X12" s="5">
        <v>99.549284529000033</v>
      </c>
      <c r="Y12" s="5">
        <v>765.2759300530015</v>
      </c>
      <c r="Z12" s="2">
        <v>0</v>
      </c>
      <c r="AA12" s="3">
        <v>0.40000000596046448</v>
      </c>
      <c r="AB12" s="3">
        <v>5.9151986420147302E-8</v>
      </c>
      <c r="AC12" s="3">
        <v>0</v>
      </c>
      <c r="AD12" s="3">
        <v>0</v>
      </c>
      <c r="AE12" s="3">
        <v>-0.77612405933088024</v>
      </c>
      <c r="AF12" s="3">
        <v>0.92983697705258939</v>
      </c>
      <c r="AG12" s="3">
        <v>0.56752188513225799</v>
      </c>
      <c r="AH12" s="3">
        <v>0.82575887876930221</v>
      </c>
      <c r="AI12" s="3">
        <v>-1.0785424907293899</v>
      </c>
      <c r="AJ12" s="3">
        <v>0.85108822950922081</v>
      </c>
      <c r="AK12" s="3">
        <v>0.51221649492032673</v>
      </c>
      <c r="AL12" s="3">
        <v>0.55075295408289526</v>
      </c>
      <c r="AM12" s="3">
        <v>-0.89455143659371128</v>
      </c>
      <c r="AN12" s="3">
        <v>0.97181767808865116</v>
      </c>
      <c r="AO12" s="3">
        <v>0.56494183244257745</v>
      </c>
      <c r="AP12" s="3">
        <v>0.85458556531673435</v>
      </c>
      <c r="AQ12" s="3">
        <v>-1.359149820742136</v>
      </c>
      <c r="AR12" s="3">
        <v>0.95879101141843881</v>
      </c>
      <c r="AS12" s="3">
        <v>0.53301811460031678</v>
      </c>
      <c r="AT12" s="3">
        <v>0.725028018795012</v>
      </c>
      <c r="AU12" s="16">
        <f t="shared" si="0"/>
        <v>0.2144218310179079</v>
      </c>
      <c r="AV12" s="16">
        <f t="shared" si="1"/>
        <v>0.32327520905504786</v>
      </c>
    </row>
    <row r="13" spans="1:48" x14ac:dyDescent="0.25">
      <c r="A13" s="2" t="s">
        <v>46</v>
      </c>
      <c r="B13" s="2" t="s">
        <v>47</v>
      </c>
      <c r="C13" s="3">
        <v>1E-3</v>
      </c>
      <c r="D13" s="3">
        <v>0.3</v>
      </c>
      <c r="E13" s="2" t="s">
        <v>52</v>
      </c>
      <c r="F13" s="3">
        <v>1</v>
      </c>
      <c r="G13" s="2" t="s">
        <v>51</v>
      </c>
      <c r="H13" s="2" t="s">
        <v>53</v>
      </c>
      <c r="I13" s="2">
        <v>91</v>
      </c>
      <c r="J13" s="2">
        <v>0</v>
      </c>
      <c r="K13" s="2">
        <v>97</v>
      </c>
      <c r="L13" s="2">
        <v>156</v>
      </c>
      <c r="M13" s="2">
        <v>1.714</v>
      </c>
      <c r="N13" s="2">
        <v>1</v>
      </c>
      <c r="O13" s="2">
        <v>0</v>
      </c>
      <c r="P13" s="2">
        <v>10000</v>
      </c>
      <c r="Q13" s="2">
        <v>9852</v>
      </c>
      <c r="R13" s="4">
        <v>2.1346626281738281</v>
      </c>
      <c r="S13" s="4">
        <v>2.374490181605021</v>
      </c>
      <c r="T13" s="4"/>
      <c r="U13" s="4">
        <v>2.5365748405456539</v>
      </c>
      <c r="V13" s="4">
        <v>2.5063457489013672</v>
      </c>
      <c r="W13" s="4">
        <v>6.8353824317455195E-2</v>
      </c>
      <c r="X13" s="5">
        <v>93.472496202000002</v>
      </c>
      <c r="Y13" s="5">
        <v>422.25925535799979</v>
      </c>
      <c r="Z13" s="2">
        <v>0</v>
      </c>
      <c r="AA13" s="3">
        <v>0.29443898797035217</v>
      </c>
      <c r="AB13" s="3">
        <v>0.87199211120605469</v>
      </c>
      <c r="AC13" s="3">
        <v>0</v>
      </c>
      <c r="AD13" s="3">
        <v>0</v>
      </c>
      <c r="AE13" s="3">
        <v>-3.09491477442503</v>
      </c>
      <c r="AF13" s="3">
        <v>0.77625853342618223</v>
      </c>
      <c r="AG13" s="3">
        <v>0.61339203816585108</v>
      </c>
      <c r="AH13" s="3">
        <v>0.9607930553659596</v>
      </c>
      <c r="AI13" s="3">
        <v>-3.244397878055679</v>
      </c>
      <c r="AJ13" s="3">
        <v>0.71823809667765737</v>
      </c>
      <c r="AK13" s="3">
        <v>0.48964773045231819</v>
      </c>
      <c r="AL13" s="3">
        <v>0.64959341897811396</v>
      </c>
      <c r="AM13" s="3">
        <v>-3.1637079946877571</v>
      </c>
      <c r="AN13" s="3">
        <v>0.81170512244309267</v>
      </c>
      <c r="AO13" s="3">
        <v>0.64952806314792566</v>
      </c>
      <c r="AP13" s="3">
        <v>0.78860847380356902</v>
      </c>
      <c r="AQ13" s="3">
        <v>-3.1049504274071351</v>
      </c>
      <c r="AR13" s="3">
        <v>0.79564060531521918</v>
      </c>
      <c r="AS13" s="3">
        <v>0.51701215421878177</v>
      </c>
      <c r="AT13" s="3">
        <v>0.5832839628665818</v>
      </c>
      <c r="AU13" s="16">
        <f t="shared" si="0"/>
        <v>-0.30225342625163815</v>
      </c>
      <c r="AV13" s="16">
        <f t="shared" si="1"/>
        <v>-0.25377134289231634</v>
      </c>
    </row>
    <row r="14" spans="1:48" x14ac:dyDescent="0.25">
      <c r="A14" s="2" t="s">
        <v>46</v>
      </c>
      <c r="B14" s="2" t="s">
        <v>47</v>
      </c>
      <c r="C14" s="3">
        <v>1E-3</v>
      </c>
      <c r="D14" s="3">
        <v>0.3</v>
      </c>
      <c r="E14" s="2" t="s">
        <v>54</v>
      </c>
      <c r="F14" s="3">
        <v>1</v>
      </c>
      <c r="G14" s="2" t="s">
        <v>49</v>
      </c>
      <c r="H14" s="2" t="s">
        <v>55</v>
      </c>
      <c r="I14" s="2">
        <v>195</v>
      </c>
      <c r="J14" s="2">
        <v>0</v>
      </c>
      <c r="K14" s="2">
        <v>201</v>
      </c>
      <c r="L14" s="2">
        <v>156</v>
      </c>
      <c r="M14" s="2">
        <v>0.8</v>
      </c>
      <c r="N14" s="2">
        <v>1</v>
      </c>
      <c r="O14" s="2">
        <v>1</v>
      </c>
      <c r="P14" s="2">
        <v>828</v>
      </c>
      <c r="Q14" s="2">
        <v>773</v>
      </c>
      <c r="R14" s="4">
        <v>3.3539307117462158</v>
      </c>
      <c r="S14" s="4">
        <v>2.868860006332397</v>
      </c>
      <c r="T14" s="4"/>
      <c r="U14" s="4"/>
      <c r="V14" s="4"/>
      <c r="W14" s="4">
        <v>0.12640847265720359</v>
      </c>
      <c r="X14" s="5">
        <v>29.215397468999981</v>
      </c>
      <c r="Y14" s="5">
        <v>67.818915776995709</v>
      </c>
      <c r="Z14" s="2">
        <v>0</v>
      </c>
      <c r="AA14" s="3">
        <v>0.24987684190273279</v>
      </c>
      <c r="AB14" s="3">
        <v>2.7660920750349001E-3</v>
      </c>
      <c r="AC14" s="3">
        <v>0</v>
      </c>
      <c r="AD14" s="3">
        <v>0</v>
      </c>
      <c r="AE14" s="3">
        <v>-2.943217518969675</v>
      </c>
      <c r="AF14" s="3">
        <v>0.81225406906267428</v>
      </c>
      <c r="AG14" s="3">
        <v>0.33248039163100029</v>
      </c>
      <c r="AH14" s="3">
        <v>3.8000692687421997E-2</v>
      </c>
      <c r="AI14" s="3">
        <v>-2.794987411180148</v>
      </c>
      <c r="AJ14" s="3">
        <v>0.88296918779694833</v>
      </c>
      <c r="AK14" s="3">
        <v>0.52265133787384033</v>
      </c>
      <c r="AL14" s="3">
        <v>0.67056600195386573</v>
      </c>
      <c r="AM14" s="3">
        <v>-3.0929651527215132</v>
      </c>
      <c r="AN14" s="3">
        <v>0.87378544251900747</v>
      </c>
      <c r="AO14" s="3">
        <v>0.22368725153790481</v>
      </c>
      <c r="AP14" s="3">
        <v>-0.3161046282756661</v>
      </c>
      <c r="AQ14" s="3">
        <v>-2.8917803301678</v>
      </c>
      <c r="AR14" s="3">
        <v>0.59099705703472494</v>
      </c>
      <c r="AS14" s="3">
        <v>-0.3486695913431887</v>
      </c>
      <c r="AT14" s="3">
        <v>1.8521589168735898E-2</v>
      </c>
      <c r="AU14" s="16">
        <f t="shared" si="0"/>
        <v>-0.65773281882688206</v>
      </c>
      <c r="AV14" s="16">
        <f t="shared" si="1"/>
        <v>-0.39924002800702829</v>
      </c>
    </row>
    <row r="15" spans="1:48" x14ac:dyDescent="0.25">
      <c r="A15" s="2" t="s">
        <v>46</v>
      </c>
      <c r="B15" s="2" t="s">
        <v>47</v>
      </c>
      <c r="C15" s="3">
        <v>1E-3</v>
      </c>
      <c r="D15" s="3">
        <v>0.3</v>
      </c>
      <c r="E15" s="2" t="s">
        <v>54</v>
      </c>
      <c r="F15" s="3">
        <v>1</v>
      </c>
      <c r="G15" s="2" t="s">
        <v>51</v>
      </c>
      <c r="H15" s="2" t="s">
        <v>55</v>
      </c>
      <c r="I15" s="2">
        <v>195</v>
      </c>
      <c r="J15" s="2">
        <v>0</v>
      </c>
      <c r="K15" s="2">
        <v>201</v>
      </c>
      <c r="L15" s="2">
        <v>156</v>
      </c>
      <c r="M15" s="2">
        <v>0.8</v>
      </c>
      <c r="N15" s="2">
        <v>1</v>
      </c>
      <c r="O15" s="2">
        <v>1</v>
      </c>
      <c r="P15" s="2">
        <v>695</v>
      </c>
      <c r="Q15" s="2">
        <v>112</v>
      </c>
      <c r="R15" s="4">
        <v>3.1572146415710449</v>
      </c>
      <c r="S15" s="4">
        <v>4.6157385508219404</v>
      </c>
      <c r="T15" s="4"/>
      <c r="U15" s="4"/>
      <c r="V15" s="4"/>
      <c r="W15" s="4">
        <v>0.1040220037102699</v>
      </c>
      <c r="X15" s="5">
        <v>28.701136611000042</v>
      </c>
      <c r="Y15" s="5">
        <v>56.031999725997593</v>
      </c>
      <c r="Z15" s="2">
        <v>0</v>
      </c>
      <c r="AA15" s="3">
        <v>7.5181916356086703E-2</v>
      </c>
      <c r="AB15" s="3">
        <v>5.9891424179077148</v>
      </c>
      <c r="AC15" s="3">
        <v>0</v>
      </c>
      <c r="AD15" s="3">
        <v>0</v>
      </c>
      <c r="AE15" s="3">
        <v>-3.186713495616011</v>
      </c>
      <c r="AF15" s="3">
        <v>0.69078185463307573</v>
      </c>
      <c r="AG15" s="3">
        <v>-5.7762652726858599E-2</v>
      </c>
      <c r="AH15" s="3">
        <v>0.30988822151133377</v>
      </c>
      <c r="AI15" s="3">
        <v>-3.3991850855354202</v>
      </c>
      <c r="AJ15" s="3">
        <v>5.2490245975453799E-2</v>
      </c>
      <c r="AK15" s="3">
        <v>-0.2388715568110604</v>
      </c>
      <c r="AL15" s="3">
        <v>0.23334232169970001</v>
      </c>
      <c r="AM15" s="3">
        <v>-3.2642822820501221</v>
      </c>
      <c r="AN15" s="3">
        <v>0.4212180355036409</v>
      </c>
      <c r="AO15" s="3">
        <v>-0.35589461225205649</v>
      </c>
      <c r="AP15" s="3">
        <v>5.4818048569299001E-3</v>
      </c>
      <c r="AQ15" s="3">
        <v>-3.127498553279016</v>
      </c>
      <c r="AR15" s="3">
        <v>0.8014048310659182</v>
      </c>
      <c r="AS15" s="3">
        <v>-0.5227559025295534</v>
      </c>
      <c r="AT15" s="3">
        <v>0.42918265096070751</v>
      </c>
      <c r="AU15" s="16">
        <f t="shared" si="0"/>
        <v>-0.60491674344548596</v>
      </c>
      <c r="AV15" s="16">
        <f t="shared" si="1"/>
        <v>-0.73245893340094959</v>
      </c>
    </row>
    <row r="16" spans="1:48" x14ac:dyDescent="0.25">
      <c r="A16" s="2" t="s">
        <v>46</v>
      </c>
      <c r="B16" s="2" t="s">
        <v>47</v>
      </c>
      <c r="C16" s="3">
        <v>1E-3</v>
      </c>
      <c r="D16" s="3">
        <v>0.3</v>
      </c>
      <c r="E16" s="2" t="s">
        <v>56</v>
      </c>
      <c r="F16" s="3">
        <v>1</v>
      </c>
      <c r="G16" s="2" t="s">
        <v>49</v>
      </c>
      <c r="H16" s="2" t="s">
        <v>57</v>
      </c>
      <c r="I16" s="2">
        <v>251</v>
      </c>
      <c r="J16" s="2">
        <v>0</v>
      </c>
      <c r="K16" s="2">
        <v>257</v>
      </c>
      <c r="L16" s="2">
        <v>156</v>
      </c>
      <c r="M16" s="2">
        <v>0.622</v>
      </c>
      <c r="N16" s="2">
        <v>1</v>
      </c>
      <c r="O16" s="2">
        <v>0</v>
      </c>
      <c r="P16" s="2">
        <v>10000</v>
      </c>
      <c r="Q16" s="2">
        <v>493</v>
      </c>
      <c r="R16" s="4">
        <v>3.018008708953857</v>
      </c>
      <c r="S16" s="4">
        <v>3.179186105728149</v>
      </c>
      <c r="T16" s="4"/>
      <c r="U16" s="4">
        <v>3.7628692785898838</v>
      </c>
      <c r="V16" s="4">
        <v>3.9892628192901611</v>
      </c>
      <c r="W16" s="4">
        <v>0.2016236931085586</v>
      </c>
      <c r="X16" s="5">
        <v>100.24426433500049</v>
      </c>
      <c r="Y16" s="5">
        <v>502.66797492899792</v>
      </c>
      <c r="Z16" s="2">
        <v>0</v>
      </c>
      <c r="AA16" s="3">
        <v>0.40000000596046448</v>
      </c>
      <c r="AB16" s="3">
        <v>3.4779054636224771E-11</v>
      </c>
      <c r="AC16" s="3">
        <v>0</v>
      </c>
      <c r="AD16" s="3">
        <v>0</v>
      </c>
      <c r="AE16" s="3">
        <v>-1.491871742495404</v>
      </c>
      <c r="AF16" s="3">
        <v>0.92375943525985105</v>
      </c>
      <c r="AG16" s="3">
        <v>-0.1829577856989697</v>
      </c>
      <c r="AH16" s="3">
        <v>0.37772545881164471</v>
      </c>
      <c r="AI16" s="3">
        <v>-1.5034226572987559</v>
      </c>
      <c r="AJ16" s="3">
        <v>0.79911433118700037</v>
      </c>
      <c r="AK16" s="3">
        <v>2.2210888750173598E-2</v>
      </c>
      <c r="AL16" s="3">
        <v>0.36813151820779477</v>
      </c>
      <c r="AM16" s="3">
        <v>-1.4554534031088771</v>
      </c>
      <c r="AN16" s="3">
        <v>0.9316914333431312</v>
      </c>
      <c r="AO16" s="3">
        <v>-0.48227095213418097</v>
      </c>
      <c r="AP16" s="3">
        <v>0.44531671001565648</v>
      </c>
      <c r="AQ16" s="3">
        <v>-1.7582606050934151</v>
      </c>
      <c r="AR16" s="3">
        <v>0.91964381140249585</v>
      </c>
      <c r="AS16" s="3">
        <v>-0.78644292384947678</v>
      </c>
      <c r="AT16" s="3">
        <v>0.12133614968342581</v>
      </c>
      <c r="AU16" s="16">
        <f t="shared" si="0"/>
        <v>-0.37593089196424256</v>
      </c>
      <c r="AV16" s="16">
        <f t="shared" si="1"/>
        <v>-0.10400223043007796</v>
      </c>
    </row>
    <row r="17" spans="1:48" x14ac:dyDescent="0.25">
      <c r="A17" s="2" t="s">
        <v>46</v>
      </c>
      <c r="B17" s="2" t="s">
        <v>47</v>
      </c>
      <c r="C17" s="3">
        <v>1E-3</v>
      </c>
      <c r="D17" s="3">
        <v>0.3</v>
      </c>
      <c r="E17" s="2" t="s">
        <v>56</v>
      </c>
      <c r="F17" s="3">
        <v>1</v>
      </c>
      <c r="G17" s="2" t="s">
        <v>51</v>
      </c>
      <c r="H17" s="2" t="s">
        <v>57</v>
      </c>
      <c r="I17" s="2">
        <v>251</v>
      </c>
      <c r="J17" s="2">
        <v>0</v>
      </c>
      <c r="K17" s="2">
        <v>257</v>
      </c>
      <c r="L17" s="2">
        <v>156</v>
      </c>
      <c r="M17" s="2">
        <v>0.622</v>
      </c>
      <c r="N17" s="2">
        <v>1</v>
      </c>
      <c r="O17" s="2">
        <v>0</v>
      </c>
      <c r="P17" s="2">
        <v>10000</v>
      </c>
      <c r="Q17" s="2">
        <v>7530</v>
      </c>
      <c r="R17" s="4">
        <v>2.3376302719116211</v>
      </c>
      <c r="S17" s="4">
        <v>1.31074047088623</v>
      </c>
      <c r="T17" s="4"/>
      <c r="U17" s="4">
        <v>1.383327404658</v>
      </c>
      <c r="V17" s="4">
        <v>3.167331218719482</v>
      </c>
      <c r="W17" s="4">
        <v>7.2864092886447906E-2</v>
      </c>
      <c r="X17" s="5">
        <v>116.15751123300021</v>
      </c>
      <c r="Y17" s="5">
        <v>698.03603906900389</v>
      </c>
      <c r="Z17" s="2">
        <v>0</v>
      </c>
      <c r="AA17" s="3">
        <v>0.2396432608366012</v>
      </c>
      <c r="AB17" s="3">
        <v>-6.224308890523389E-8</v>
      </c>
      <c r="AC17" s="3">
        <v>-4.1167464814861892E-7</v>
      </c>
      <c r="AD17" s="3">
        <v>0</v>
      </c>
      <c r="AE17" s="3">
        <v>-1.2171419660867351</v>
      </c>
      <c r="AF17" s="3">
        <v>0.94627973515002839</v>
      </c>
      <c r="AG17" s="3">
        <v>0.66280051677478591</v>
      </c>
      <c r="AH17" s="3">
        <v>0.97870447703459285</v>
      </c>
      <c r="AI17" s="3">
        <v>-1.1781146410046259</v>
      </c>
      <c r="AJ17" s="3">
        <v>0.87928616027674356</v>
      </c>
      <c r="AK17" s="3">
        <v>0.79545502802615409</v>
      </c>
      <c r="AL17" s="3">
        <v>0.98687498983876676</v>
      </c>
      <c r="AM17" s="3">
        <v>-1.5283302401799139</v>
      </c>
      <c r="AN17" s="3">
        <v>0.95595649137191918</v>
      </c>
      <c r="AO17" s="3">
        <v>0.56253541994802347</v>
      </c>
      <c r="AP17" s="3">
        <v>0.93922489911942475</v>
      </c>
      <c r="AQ17" s="3">
        <v>-0.98768233804084882</v>
      </c>
      <c r="AR17" s="3">
        <v>0.67799747450122272</v>
      </c>
      <c r="AS17" s="3">
        <v>-0.52523928742756554</v>
      </c>
      <c r="AT17" s="3">
        <v>0.9524329772742236</v>
      </c>
      <c r="AU17" s="16">
        <f t="shared" si="0"/>
        <v>2.9377206576757992E-2</v>
      </c>
      <c r="AV17" s="16">
        <f t="shared" si="1"/>
        <v>0.31529423918909694</v>
      </c>
    </row>
    <row r="18" spans="1:48" x14ac:dyDescent="0.25">
      <c r="A18" s="2" t="s">
        <v>46</v>
      </c>
      <c r="B18" s="2" t="s">
        <v>47</v>
      </c>
      <c r="C18" s="3">
        <v>0.01</v>
      </c>
      <c r="D18" s="3">
        <v>0.1</v>
      </c>
      <c r="E18" s="2" t="s">
        <v>48</v>
      </c>
      <c r="F18" s="3">
        <v>1</v>
      </c>
      <c r="G18" s="2" t="s">
        <v>49</v>
      </c>
      <c r="H18" s="2" t="s">
        <v>50</v>
      </c>
      <c r="I18" s="2">
        <v>61</v>
      </c>
      <c r="J18" s="2">
        <v>0</v>
      </c>
      <c r="K18" s="2">
        <v>67</v>
      </c>
      <c r="L18" s="2">
        <v>156</v>
      </c>
      <c r="M18" s="2">
        <v>2.5569999999999999</v>
      </c>
      <c r="N18" s="2">
        <v>1</v>
      </c>
      <c r="O18" s="2">
        <v>1</v>
      </c>
      <c r="P18" s="2">
        <v>81</v>
      </c>
      <c r="Q18" s="2">
        <v>64</v>
      </c>
      <c r="R18" s="4">
        <v>4.2230801582336426</v>
      </c>
      <c r="S18" s="4">
        <v>3.296918392181396</v>
      </c>
      <c r="T18" s="4"/>
      <c r="U18" s="4">
        <v>2.9674079418182369</v>
      </c>
      <c r="V18" s="4"/>
      <c r="W18" s="4">
        <v>6.5022021532058702E-2</v>
      </c>
      <c r="X18" s="5">
        <v>20.103752184999848</v>
      </c>
      <c r="Y18" s="5">
        <v>20.383232901000159</v>
      </c>
      <c r="Z18" s="2">
        <v>1</v>
      </c>
      <c r="AA18" s="3">
        <v>0.226644366979599</v>
      </c>
      <c r="AB18" s="3">
        <v>-3.6828805605182419E-7</v>
      </c>
      <c r="AC18" s="3">
        <v>-3.215207470930181E-6</v>
      </c>
      <c r="AD18" s="3">
        <v>0</v>
      </c>
      <c r="AE18" s="3">
        <v>-1.8390315525551331</v>
      </c>
      <c r="AF18" s="3">
        <v>0.90513696471513361</v>
      </c>
      <c r="AG18" s="3">
        <v>0.58417366879983179</v>
      </c>
      <c r="AH18" s="3">
        <v>-1.7353964990790181</v>
      </c>
      <c r="AI18" s="3">
        <v>-2.1419431029291389</v>
      </c>
      <c r="AJ18" s="3">
        <v>0.85306292804919404</v>
      </c>
      <c r="AK18" s="3">
        <v>0.58499413348037821</v>
      </c>
      <c r="AL18" s="3">
        <v>-1.8303664993291531</v>
      </c>
      <c r="AM18" s="3">
        <v>-2.2730917502432288</v>
      </c>
      <c r="AN18" s="3">
        <v>0.90982730521490462</v>
      </c>
      <c r="AO18" s="3">
        <v>0.65694467815861868</v>
      </c>
      <c r="AP18" s="3">
        <v>-1.6881417897172319</v>
      </c>
      <c r="AQ18" s="3">
        <v>-1.6793446762907309</v>
      </c>
      <c r="AR18" s="3">
        <v>0.70806848456834204</v>
      </c>
      <c r="AS18" s="3">
        <v>-0.73756523658517481</v>
      </c>
      <c r="AT18" s="3">
        <v>-1.872234201287851</v>
      </c>
      <c r="AU18" s="16">
        <f t="shared" si="0"/>
        <v>-0.89526890739885367</v>
      </c>
      <c r="AV18" s="16">
        <f t="shared" si="1"/>
        <v>-0.58448595961957017</v>
      </c>
    </row>
    <row r="19" spans="1:48" x14ac:dyDescent="0.25">
      <c r="A19" s="2" t="s">
        <v>46</v>
      </c>
      <c r="B19" s="2" t="s">
        <v>47</v>
      </c>
      <c r="C19" s="3">
        <v>0.01</v>
      </c>
      <c r="D19" s="3">
        <v>0.1</v>
      </c>
      <c r="E19" s="2" t="s">
        <v>48</v>
      </c>
      <c r="F19" s="3">
        <v>1</v>
      </c>
      <c r="G19" s="2" t="s">
        <v>51</v>
      </c>
      <c r="H19" s="2" t="s">
        <v>50</v>
      </c>
      <c r="I19" s="2">
        <v>61</v>
      </c>
      <c r="J19" s="2">
        <v>0</v>
      </c>
      <c r="K19" s="2">
        <v>67</v>
      </c>
      <c r="L19" s="2">
        <v>156</v>
      </c>
      <c r="M19" s="2">
        <v>2.5569999999999999</v>
      </c>
      <c r="N19" s="2">
        <v>1</v>
      </c>
      <c r="O19" s="2">
        <v>1</v>
      </c>
      <c r="P19" s="2">
        <v>670</v>
      </c>
      <c r="Q19" s="2">
        <v>1</v>
      </c>
      <c r="R19" s="4">
        <v>4.6969976425170898</v>
      </c>
      <c r="S19" s="4">
        <v>6.1601640383402509</v>
      </c>
      <c r="T19" s="4"/>
      <c r="U19" s="4"/>
      <c r="V19" s="4"/>
      <c r="W19" s="4">
        <v>2.1506885066628401E-2</v>
      </c>
      <c r="X19" s="5">
        <v>28.817290446000239</v>
      </c>
      <c r="Y19" s="5">
        <v>51.425865665999481</v>
      </c>
      <c r="Z19" s="2">
        <v>0</v>
      </c>
      <c r="AA19" s="3">
        <v>5.4974526166915803E-2</v>
      </c>
      <c r="AB19" s="3">
        <v>0.91796809434890758</v>
      </c>
      <c r="AC19" s="3">
        <v>0</v>
      </c>
      <c r="AD19" s="3">
        <v>0</v>
      </c>
      <c r="AE19" s="3">
        <v>-3.1522622473958251</v>
      </c>
      <c r="AF19" s="3">
        <v>0.65038592508517956</v>
      </c>
      <c r="AG19" s="3">
        <v>-0.42403890010878942</v>
      </c>
      <c r="AH19" s="3">
        <v>-1.7353964990790181</v>
      </c>
      <c r="AI19" s="3">
        <v>-3.4360651113711458</v>
      </c>
      <c r="AJ19" s="3">
        <v>-0.35582239084429029</v>
      </c>
      <c r="AK19" s="3">
        <v>-0.36279529643076142</v>
      </c>
      <c r="AL19" s="3">
        <v>-1.8303664993291531</v>
      </c>
      <c r="AM19" s="3">
        <v>-3.2090752864428689</v>
      </c>
      <c r="AN19" s="3">
        <v>0.75395403924716253</v>
      </c>
      <c r="AO19" s="3">
        <v>-0.42779957580935618</v>
      </c>
      <c r="AP19" s="3">
        <v>-1.6881417897172319</v>
      </c>
      <c r="AQ19" s="3">
        <v>-3.052931488732106</v>
      </c>
      <c r="AR19" s="3">
        <v>0.1641472993754286</v>
      </c>
      <c r="AS19" s="3">
        <v>-0.19552689618700639</v>
      </c>
      <c r="AT19" s="3">
        <v>-1.872234201287851</v>
      </c>
      <c r="AU19" s="16">
        <f t="shared" si="0"/>
        <v>-1.2391363217078837</v>
      </c>
      <c r="AV19" s="16">
        <f t="shared" si="1"/>
        <v>-1.2681186360163414</v>
      </c>
    </row>
    <row r="20" spans="1:48" x14ac:dyDescent="0.25">
      <c r="A20" s="2" t="s">
        <v>46</v>
      </c>
      <c r="B20" s="2" t="s">
        <v>47</v>
      </c>
      <c r="C20" s="3">
        <v>0.01</v>
      </c>
      <c r="D20" s="3">
        <v>0.1</v>
      </c>
      <c r="E20" s="2" t="s">
        <v>52</v>
      </c>
      <c r="F20" s="3">
        <v>1</v>
      </c>
      <c r="G20" s="2" t="s">
        <v>49</v>
      </c>
      <c r="H20" s="2" t="s">
        <v>53</v>
      </c>
      <c r="I20" s="2">
        <v>91</v>
      </c>
      <c r="J20" s="2">
        <v>0</v>
      </c>
      <c r="K20" s="2">
        <v>97</v>
      </c>
      <c r="L20" s="2">
        <v>156</v>
      </c>
      <c r="M20" s="2">
        <v>1.714</v>
      </c>
      <c r="N20" s="2">
        <v>1</v>
      </c>
      <c r="O20" s="2">
        <v>0</v>
      </c>
      <c r="P20" s="2">
        <v>10000</v>
      </c>
      <c r="Q20" s="2">
        <v>140</v>
      </c>
      <c r="R20" s="4">
        <v>3.2427713871002202</v>
      </c>
      <c r="S20" s="4">
        <v>3.9209657510121669</v>
      </c>
      <c r="T20" s="4"/>
      <c r="U20" s="4">
        <v>3.6139307022094731</v>
      </c>
      <c r="V20" s="4">
        <v>5.5002384185791016</v>
      </c>
      <c r="W20" s="4">
        <v>0.1461832374334335</v>
      </c>
      <c r="X20" s="5">
        <v>89.990743245999965</v>
      </c>
      <c r="Y20" s="5">
        <v>477.61157989099962</v>
      </c>
      <c r="Z20" s="2">
        <v>0</v>
      </c>
      <c r="AA20" s="3">
        <v>0.38419035077095032</v>
      </c>
      <c r="AB20" s="3">
        <v>-2.7784608391812071E-7</v>
      </c>
      <c r="AC20" s="3">
        <v>0</v>
      </c>
      <c r="AD20" s="3">
        <v>0</v>
      </c>
      <c r="AE20" s="3">
        <v>-2.0247224968827382</v>
      </c>
      <c r="AF20" s="3">
        <v>0.95131115583716841</v>
      </c>
      <c r="AG20" s="3">
        <v>-0.58110384038519092</v>
      </c>
      <c r="AH20" s="3">
        <v>0.61032554446957277</v>
      </c>
      <c r="AI20" s="3">
        <v>-2.214885446368668</v>
      </c>
      <c r="AJ20" s="3">
        <v>0.90919519940553761</v>
      </c>
      <c r="AK20" s="3">
        <v>-0.47497146011319308</v>
      </c>
      <c r="AL20" s="3">
        <v>0.4856918761680894</v>
      </c>
      <c r="AM20" s="3">
        <v>-2.3169603261936689</v>
      </c>
      <c r="AN20" s="3">
        <v>0.97084766968578085</v>
      </c>
      <c r="AO20" s="3">
        <v>-0.87145108871476706</v>
      </c>
      <c r="AP20" s="3">
        <v>0.62604181434759942</v>
      </c>
      <c r="AQ20" s="3">
        <v>-2.3467640053010062</v>
      </c>
      <c r="AR20" s="3">
        <v>0.95926422862556382</v>
      </c>
      <c r="AS20" s="3">
        <v>-1.1073897722428609</v>
      </c>
      <c r="AT20" s="3">
        <v>0.51190578546040122</v>
      </c>
      <c r="AU20" s="16">
        <f t="shared" si="0"/>
        <v>-0.49574594086447554</v>
      </c>
      <c r="AV20" s="16">
        <f t="shared" si="1"/>
        <v>-0.32755678322870646</v>
      </c>
    </row>
    <row r="21" spans="1:48" x14ac:dyDescent="0.25">
      <c r="A21" s="2" t="s">
        <v>46</v>
      </c>
      <c r="B21" s="2" t="s">
        <v>47</v>
      </c>
      <c r="C21" s="3">
        <v>0.01</v>
      </c>
      <c r="D21" s="3">
        <v>0.1</v>
      </c>
      <c r="E21" s="2" t="s">
        <v>52</v>
      </c>
      <c r="F21" s="3">
        <v>1</v>
      </c>
      <c r="G21" s="2" t="s">
        <v>51</v>
      </c>
      <c r="H21" s="2" t="s">
        <v>53</v>
      </c>
      <c r="I21" s="2">
        <v>91</v>
      </c>
      <c r="J21" s="2">
        <v>0</v>
      </c>
      <c r="K21" s="2">
        <v>97</v>
      </c>
      <c r="L21" s="2">
        <v>156</v>
      </c>
      <c r="M21" s="2">
        <v>1.714</v>
      </c>
      <c r="N21" s="2">
        <v>1</v>
      </c>
      <c r="O21" s="2">
        <v>1</v>
      </c>
      <c r="P21" s="2">
        <v>3039</v>
      </c>
      <c r="Q21" s="2">
        <v>52</v>
      </c>
      <c r="R21" s="4">
        <v>3.7699413299560551</v>
      </c>
      <c r="S21" s="4">
        <v>2.9630468686421718</v>
      </c>
      <c r="T21" s="4"/>
      <c r="U21" s="4"/>
      <c r="V21" s="4"/>
      <c r="W21" s="4">
        <v>0.13421814143657679</v>
      </c>
      <c r="X21" s="5">
        <v>42.50419203499996</v>
      </c>
      <c r="Y21" s="5">
        <v>193.517716802</v>
      </c>
      <c r="Z21" s="2">
        <v>0</v>
      </c>
      <c r="AA21" s="3">
        <v>0.2177266329526901</v>
      </c>
      <c r="AB21" s="3">
        <v>1.509148887635092E-6</v>
      </c>
      <c r="AC21" s="3">
        <v>-5.4230274784683452E-14</v>
      </c>
      <c r="AD21" s="3">
        <v>0</v>
      </c>
      <c r="AE21" s="3">
        <v>-1.2758417991435691</v>
      </c>
      <c r="AF21" s="3">
        <v>0.92187483969284478</v>
      </c>
      <c r="AG21" s="3">
        <v>0.7181082418297724</v>
      </c>
      <c r="AH21" s="3">
        <v>-1.7353964990790181</v>
      </c>
      <c r="AI21" s="3">
        <v>-1.595019617450679</v>
      </c>
      <c r="AJ21" s="3">
        <v>0.76764924178512561</v>
      </c>
      <c r="AK21" s="3">
        <v>0.6988063844196073</v>
      </c>
      <c r="AL21" s="3">
        <v>-1.8303664993291531</v>
      </c>
      <c r="AM21" s="3">
        <v>-1.6246285029503691</v>
      </c>
      <c r="AN21" s="3">
        <v>0.94147184543520679</v>
      </c>
      <c r="AO21" s="3">
        <v>0.74937170376948004</v>
      </c>
      <c r="AP21" s="3">
        <v>-1.6881417897172319</v>
      </c>
      <c r="AQ21" s="3">
        <v>-0.96594427100870317</v>
      </c>
      <c r="AR21" s="3">
        <v>0.74422466651893115</v>
      </c>
      <c r="AS21" s="3">
        <v>-0.52051277699139176</v>
      </c>
      <c r="AT21" s="3">
        <v>-1.872234201287851</v>
      </c>
      <c r="AU21" s="16">
        <f t="shared" si="0"/>
        <v>-0.65361664569225364</v>
      </c>
      <c r="AV21" s="16">
        <f t="shared" si="1"/>
        <v>-0.41267603756149862</v>
      </c>
    </row>
    <row r="22" spans="1:48" x14ac:dyDescent="0.25">
      <c r="A22" s="2" t="s">
        <v>46</v>
      </c>
      <c r="B22" s="2" t="s">
        <v>47</v>
      </c>
      <c r="C22" s="3">
        <v>0.01</v>
      </c>
      <c r="D22" s="3">
        <v>0.1</v>
      </c>
      <c r="E22" s="2" t="s">
        <v>54</v>
      </c>
      <c r="F22" s="3">
        <v>1</v>
      </c>
      <c r="G22" s="2" t="s">
        <v>49</v>
      </c>
      <c r="H22" s="2" t="s">
        <v>55</v>
      </c>
      <c r="I22" s="2">
        <v>195</v>
      </c>
      <c r="J22" s="2">
        <v>0</v>
      </c>
      <c r="K22" s="2">
        <v>201</v>
      </c>
      <c r="L22" s="2">
        <v>156</v>
      </c>
      <c r="M22" s="2">
        <v>0.8</v>
      </c>
      <c r="N22" s="2">
        <v>1</v>
      </c>
      <c r="O22" s="2">
        <v>1</v>
      </c>
      <c r="P22" s="2">
        <v>27</v>
      </c>
      <c r="Q22" s="2">
        <v>3</v>
      </c>
      <c r="R22" s="4">
        <v>3.2658393383026119</v>
      </c>
      <c r="S22" s="4">
        <v>5.7054332097371416</v>
      </c>
      <c r="T22" s="4"/>
      <c r="U22" s="4"/>
      <c r="V22" s="4"/>
      <c r="W22" s="4">
        <v>5.3563524037599501E-2</v>
      </c>
      <c r="X22" s="5">
        <v>23.252589295000231</v>
      </c>
      <c r="Y22" s="5">
        <v>26.873426785000451</v>
      </c>
      <c r="Z22" s="2">
        <v>0</v>
      </c>
      <c r="AA22" s="3">
        <v>6.9127380847930894E-2</v>
      </c>
      <c r="AB22" s="3">
        <v>3.4399509429931641</v>
      </c>
      <c r="AC22" s="3">
        <v>0</v>
      </c>
      <c r="AD22" s="3">
        <v>0</v>
      </c>
      <c r="AE22" s="3">
        <v>-3.1894489065316121</v>
      </c>
      <c r="AF22" s="3">
        <v>0.7203828097989855</v>
      </c>
      <c r="AG22" s="3">
        <v>-0.45837123657478029</v>
      </c>
      <c r="AH22" s="3">
        <v>-1.7132604413826931</v>
      </c>
      <c r="AI22" s="3">
        <v>-3.4270645239242228</v>
      </c>
      <c r="AJ22" s="3">
        <v>-0.17360989166358079</v>
      </c>
      <c r="AK22" s="3">
        <v>-0.43960252811987077</v>
      </c>
      <c r="AL22" s="3">
        <v>-0.28024690356297932</v>
      </c>
      <c r="AM22" s="3">
        <v>-3.2900820345009461</v>
      </c>
      <c r="AN22" s="3">
        <v>0.37486324842813779</v>
      </c>
      <c r="AO22" s="3">
        <v>-0.48506604342621218</v>
      </c>
      <c r="AP22" s="3">
        <v>-0.2138049753121094</v>
      </c>
      <c r="AQ22" s="3">
        <v>-3.1549584878937251</v>
      </c>
      <c r="AR22" s="3">
        <v>0.73427261638642149</v>
      </c>
      <c r="AS22" s="3">
        <v>-0.41619947455576201</v>
      </c>
      <c r="AT22" s="3">
        <v>0.18571381335647391</v>
      </c>
      <c r="AU22" s="16">
        <f t="shared" si="0"/>
        <v>-0.66279288317664786</v>
      </c>
      <c r="AV22" s="16">
        <f t="shared" si="1"/>
        <v>-1.0479426188976568</v>
      </c>
    </row>
    <row r="23" spans="1:48" x14ac:dyDescent="0.25">
      <c r="A23" s="2" t="s">
        <v>46</v>
      </c>
      <c r="B23" s="2" t="s">
        <v>47</v>
      </c>
      <c r="C23" s="3">
        <v>0.01</v>
      </c>
      <c r="D23" s="3">
        <v>0.1</v>
      </c>
      <c r="E23" s="2" t="s">
        <v>54</v>
      </c>
      <c r="F23" s="3">
        <v>1</v>
      </c>
      <c r="G23" s="2" t="s">
        <v>51</v>
      </c>
      <c r="H23" s="2" t="s">
        <v>55</v>
      </c>
      <c r="I23" s="2">
        <v>195</v>
      </c>
      <c r="J23" s="2">
        <v>0</v>
      </c>
      <c r="K23" s="2">
        <v>201</v>
      </c>
      <c r="L23" s="2">
        <v>156</v>
      </c>
      <c r="M23" s="2">
        <v>0.8</v>
      </c>
      <c r="N23" s="2">
        <v>1</v>
      </c>
      <c r="O23" s="2">
        <v>1</v>
      </c>
      <c r="P23" s="2">
        <v>62</v>
      </c>
      <c r="Q23" s="2">
        <v>2</v>
      </c>
      <c r="R23" s="4">
        <v>3.65534496307373</v>
      </c>
      <c r="S23" s="4">
        <v>5.7905866305033369</v>
      </c>
      <c r="T23" s="4"/>
      <c r="U23" s="4"/>
      <c r="V23" s="4"/>
      <c r="W23" s="4">
        <v>3.4812398254871299E-2</v>
      </c>
      <c r="X23" s="5">
        <v>23.519633806999991</v>
      </c>
      <c r="Y23" s="5">
        <v>25.579749499000169</v>
      </c>
      <c r="Z23" s="2">
        <v>0</v>
      </c>
      <c r="AA23" s="3">
        <v>1.03305140510201E-2</v>
      </c>
      <c r="AB23" s="3">
        <v>11.311506271362299</v>
      </c>
      <c r="AC23" s="3">
        <v>0</v>
      </c>
      <c r="AD23" s="3">
        <v>0</v>
      </c>
      <c r="AE23" s="3">
        <v>-3.262902080641751</v>
      </c>
      <c r="AF23" s="3">
        <v>0.61362883119685407</v>
      </c>
      <c r="AG23" s="3">
        <v>-0.23815755148708639</v>
      </c>
      <c r="AH23" s="3">
        <v>-4.0276720573110401E-2</v>
      </c>
      <c r="AI23" s="3">
        <v>-3.477853914446801</v>
      </c>
      <c r="AJ23" s="3">
        <v>-0.75782054434945123</v>
      </c>
      <c r="AK23" s="3">
        <v>-0.2718132517016229</v>
      </c>
      <c r="AL23" s="3">
        <v>-0.1625897694570248</v>
      </c>
      <c r="AM23" s="3">
        <v>-3.3098011224455348</v>
      </c>
      <c r="AN23" s="3">
        <v>3.3259469871134102E-2</v>
      </c>
      <c r="AO23" s="3">
        <v>-0.63238266029837642</v>
      </c>
      <c r="AP23" s="3">
        <v>-0.66532556576623869</v>
      </c>
      <c r="AQ23" s="3">
        <v>-3.1875710609643431</v>
      </c>
      <c r="AR23" s="3">
        <v>0.67174384636503559</v>
      </c>
      <c r="AS23" s="3">
        <v>-0.60740899149233885</v>
      </c>
      <c r="AT23" s="3">
        <v>-8.5720948636955605E-2</v>
      </c>
      <c r="AU23" s="16">
        <f t="shared" si="0"/>
        <v>-0.80223928868215044</v>
      </c>
      <c r="AV23" s="16">
        <f t="shared" si="1"/>
        <v>-1.0143362400082507</v>
      </c>
    </row>
    <row r="24" spans="1:48" x14ac:dyDescent="0.25">
      <c r="A24" s="2" t="s">
        <v>46</v>
      </c>
      <c r="B24" s="2" t="s">
        <v>47</v>
      </c>
      <c r="C24" s="3">
        <v>0.01</v>
      </c>
      <c r="D24" s="3">
        <v>0.1</v>
      </c>
      <c r="E24" s="2" t="s">
        <v>56</v>
      </c>
      <c r="F24" s="3">
        <v>1</v>
      </c>
      <c r="G24" s="2" t="s">
        <v>49</v>
      </c>
      <c r="H24" s="2" t="s">
        <v>57</v>
      </c>
      <c r="I24" s="2">
        <v>251</v>
      </c>
      <c r="J24" s="2">
        <v>0</v>
      </c>
      <c r="K24" s="2">
        <v>257</v>
      </c>
      <c r="L24" s="2">
        <v>156</v>
      </c>
      <c r="M24" s="2">
        <v>0.622</v>
      </c>
      <c r="N24" s="2">
        <v>1</v>
      </c>
      <c r="O24" s="2">
        <v>0</v>
      </c>
      <c r="P24" s="2">
        <v>10000</v>
      </c>
      <c r="Q24" s="2">
        <v>325</v>
      </c>
      <c r="R24" s="4">
        <v>3.626319408416748</v>
      </c>
      <c r="S24" s="4">
        <v>4.1326208114624023</v>
      </c>
      <c r="T24" s="4"/>
      <c r="U24" s="4">
        <v>3.3634277979532881</v>
      </c>
      <c r="V24" s="4">
        <v>6.2317228317260742</v>
      </c>
      <c r="W24" s="4">
        <v>0.1680005192756652</v>
      </c>
      <c r="X24" s="5">
        <v>97.211138237999876</v>
      </c>
      <c r="Y24" s="5">
        <v>472.228136834</v>
      </c>
      <c r="Z24" s="2">
        <v>0</v>
      </c>
      <c r="AA24" s="3">
        <v>0.35231262445449829</v>
      </c>
      <c r="AB24" s="3">
        <v>-1.185321707453113E-7</v>
      </c>
      <c r="AC24" s="3">
        <v>0</v>
      </c>
      <c r="AD24" s="3">
        <v>0</v>
      </c>
      <c r="AE24" s="3">
        <v>-1.70961149325721</v>
      </c>
      <c r="AF24" s="3">
        <v>0.87855955453456258</v>
      </c>
      <c r="AG24" s="3">
        <v>-0.58110384038519092</v>
      </c>
      <c r="AH24" s="3">
        <v>0.29938366265852312</v>
      </c>
      <c r="AI24" s="3">
        <v>-1.7190245458530879</v>
      </c>
      <c r="AJ24" s="3">
        <v>0.79415848391238564</v>
      </c>
      <c r="AK24" s="3">
        <v>-0.47497146011319308</v>
      </c>
      <c r="AL24" s="3">
        <v>-2.2315563998445101E-2</v>
      </c>
      <c r="AM24" s="3">
        <v>-1.823849135903268</v>
      </c>
      <c r="AN24" s="3">
        <v>0.84338966144642957</v>
      </c>
      <c r="AO24" s="3">
        <v>-0.87145108871476706</v>
      </c>
      <c r="AP24" s="3">
        <v>0.40436726877276791</v>
      </c>
      <c r="AQ24" s="3">
        <v>-2.145267735439834</v>
      </c>
      <c r="AR24" s="3">
        <v>0.77186694609911588</v>
      </c>
      <c r="AS24" s="3">
        <v>-1.1073897722428609</v>
      </c>
      <c r="AT24" s="3">
        <v>2.31256807332809E-2</v>
      </c>
      <c r="AU24" s="16">
        <f t="shared" si="0"/>
        <v>-0.61441622021257458</v>
      </c>
      <c r="AV24" s="16">
        <f t="shared" si="1"/>
        <v>-0.33187237474170778</v>
      </c>
    </row>
    <row r="25" spans="1:48" x14ac:dyDescent="0.25">
      <c r="A25" s="2" t="s">
        <v>46</v>
      </c>
      <c r="B25" s="2" t="s">
        <v>47</v>
      </c>
      <c r="C25" s="3">
        <v>0.01</v>
      </c>
      <c r="D25" s="3">
        <v>0.1</v>
      </c>
      <c r="E25" s="2" t="s">
        <v>56</v>
      </c>
      <c r="F25" s="3">
        <v>1</v>
      </c>
      <c r="G25" s="2" t="s">
        <v>51</v>
      </c>
      <c r="H25" s="2" t="s">
        <v>57</v>
      </c>
      <c r="I25" s="2">
        <v>251</v>
      </c>
      <c r="J25" s="2">
        <v>0</v>
      </c>
      <c r="K25" s="2">
        <v>257</v>
      </c>
      <c r="L25" s="2">
        <v>156</v>
      </c>
      <c r="M25" s="2">
        <v>0.622</v>
      </c>
      <c r="N25" s="2">
        <v>1</v>
      </c>
      <c r="O25" s="2">
        <v>1</v>
      </c>
      <c r="P25" s="2">
        <v>371</v>
      </c>
      <c r="Q25" s="2">
        <v>2</v>
      </c>
      <c r="R25" s="4">
        <v>4.0542402267456046</v>
      </c>
      <c r="S25" s="4">
        <v>5.1089944839477539</v>
      </c>
      <c r="T25" s="4"/>
      <c r="U25" s="4"/>
      <c r="V25" s="4"/>
      <c r="W25" s="4">
        <v>3.5429202020168298E-2</v>
      </c>
      <c r="X25" s="5">
        <v>27.694410908000009</v>
      </c>
      <c r="Y25" s="5">
        <v>41.649872568000319</v>
      </c>
      <c r="Z25" s="2">
        <v>0</v>
      </c>
      <c r="AA25" s="3">
        <v>0.12967491149902341</v>
      </c>
      <c r="AB25" s="3">
        <v>1.3308126945048E-3</v>
      </c>
      <c r="AC25" s="3">
        <v>0</v>
      </c>
      <c r="AD25" s="3">
        <v>0</v>
      </c>
      <c r="AE25" s="3">
        <v>-2.8516734201228848</v>
      </c>
      <c r="AF25" s="3">
        <v>0.75543272814888529</v>
      </c>
      <c r="AG25" s="3">
        <v>-0.58110384038519092</v>
      </c>
      <c r="AH25" s="3">
        <v>0.1618683347489803</v>
      </c>
      <c r="AI25" s="3">
        <v>-3.227832677553184</v>
      </c>
      <c r="AJ25" s="3">
        <v>0.27044039264868119</v>
      </c>
      <c r="AK25" s="3">
        <v>-0.47497146011319308</v>
      </c>
      <c r="AL25" s="3">
        <v>-0.1986325231299399</v>
      </c>
      <c r="AM25" s="3">
        <v>-3.1204344857285542</v>
      </c>
      <c r="AN25" s="3">
        <v>0.85843909330941337</v>
      </c>
      <c r="AO25" s="3">
        <v>-0.87145108871476706</v>
      </c>
      <c r="AP25" s="3">
        <v>-0.54397416533908793</v>
      </c>
      <c r="AQ25" s="3">
        <v>-2.8535453217413811</v>
      </c>
      <c r="AR25" s="3">
        <v>0.53575594398877091</v>
      </c>
      <c r="AS25" s="3">
        <v>-1.1073897722428609</v>
      </c>
      <c r="AT25" s="3">
        <v>7.0021644378524803E-2</v>
      </c>
      <c r="AU25" s="16">
        <f t="shared" si="0"/>
        <v>-0.83878937640423656</v>
      </c>
      <c r="AV25" s="16">
        <f t="shared" si="1"/>
        <v>-0.81865775935257024</v>
      </c>
    </row>
    <row r="26" spans="1:48" x14ac:dyDescent="0.25">
      <c r="A26" s="2" t="s">
        <v>46</v>
      </c>
      <c r="B26" s="2" t="s">
        <v>47</v>
      </c>
      <c r="C26" s="3">
        <v>0.01</v>
      </c>
      <c r="D26" s="3">
        <v>0.3</v>
      </c>
      <c r="E26" s="2" t="s">
        <v>48</v>
      </c>
      <c r="F26" s="3">
        <v>1</v>
      </c>
      <c r="G26" s="2" t="s">
        <v>49</v>
      </c>
      <c r="H26" s="2" t="s">
        <v>50</v>
      </c>
      <c r="I26" s="2">
        <v>61</v>
      </c>
      <c r="J26" s="2">
        <v>0</v>
      </c>
      <c r="K26" s="2">
        <v>67</v>
      </c>
      <c r="L26" s="2">
        <v>156</v>
      </c>
      <c r="M26" s="2">
        <v>2.5569999999999999</v>
      </c>
      <c r="N26" s="2">
        <v>1</v>
      </c>
      <c r="O26" s="2">
        <v>1</v>
      </c>
      <c r="P26" s="2">
        <v>8</v>
      </c>
      <c r="Q26" s="2">
        <v>2</v>
      </c>
      <c r="R26" s="4">
        <v>4.2815508842468262</v>
      </c>
      <c r="S26" s="4">
        <v>6.6702106793721514</v>
      </c>
      <c r="T26" s="4"/>
      <c r="U26" s="4">
        <v>3757.2344148953762</v>
      </c>
      <c r="V26" s="4"/>
      <c r="W26" s="4">
        <v>3.9324391633272102E-2</v>
      </c>
      <c r="X26" s="5">
        <v>15.100248018</v>
      </c>
      <c r="Y26" s="5">
        <v>12.73474092499964</v>
      </c>
      <c r="Z26" s="2">
        <v>0</v>
      </c>
      <c r="AA26" s="3">
        <v>1.4529858890450001E-4</v>
      </c>
      <c r="AB26" s="3">
        <v>17.857124328613281</v>
      </c>
      <c r="AC26" s="3">
        <v>0</v>
      </c>
      <c r="AD26" s="3">
        <v>0</v>
      </c>
      <c r="AE26" s="3">
        <v>-3.3084095941721801</v>
      </c>
      <c r="AF26" s="3">
        <v>0.39458029103958758</v>
      </c>
      <c r="AG26" s="3">
        <v>-3.5812480108582602E-2</v>
      </c>
      <c r="AH26" s="3">
        <v>-1.7353964990790181</v>
      </c>
      <c r="AI26" s="3">
        <v>-3.5018980479681892</v>
      </c>
      <c r="AJ26" s="3">
        <v>-1.2172544098387781</v>
      </c>
      <c r="AK26" s="3">
        <v>-0.111429211468907</v>
      </c>
      <c r="AL26" s="3">
        <v>-1.8303664993291531</v>
      </c>
      <c r="AM26" s="3">
        <v>-3.3292822001435858</v>
      </c>
      <c r="AN26" s="3">
        <v>-0.1106865471008469</v>
      </c>
      <c r="AO26" s="3">
        <v>-0.27770825943974659</v>
      </c>
      <c r="AP26" s="3">
        <v>-1.6881417897172319</v>
      </c>
      <c r="AQ26" s="3">
        <v>-3.2158703142167742</v>
      </c>
      <c r="AR26" s="3">
        <v>0.38942721856533041</v>
      </c>
      <c r="AS26" s="3">
        <v>7.4227966226310504E-2</v>
      </c>
      <c r="AT26" s="3">
        <v>-1.872234201287851</v>
      </c>
      <c r="AU26" s="16">
        <f t="shared" si="0"/>
        <v>-1.1561123326782461</v>
      </c>
      <c r="AV26" s="16">
        <f t="shared" si="1"/>
        <v>-1.3959837706105531</v>
      </c>
    </row>
    <row r="27" spans="1:48" x14ac:dyDescent="0.25">
      <c r="A27" s="2" t="s">
        <v>46</v>
      </c>
      <c r="B27" s="2" t="s">
        <v>47</v>
      </c>
      <c r="C27" s="3">
        <v>0.01</v>
      </c>
      <c r="D27" s="3">
        <v>0.3</v>
      </c>
      <c r="E27" s="2" t="s">
        <v>48</v>
      </c>
      <c r="F27" s="3">
        <v>1</v>
      </c>
      <c r="G27" s="2" t="s">
        <v>51</v>
      </c>
      <c r="H27" s="2" t="s">
        <v>50</v>
      </c>
      <c r="I27" s="2">
        <v>61</v>
      </c>
      <c r="J27" s="2">
        <v>0</v>
      </c>
      <c r="K27" s="2">
        <v>67</v>
      </c>
      <c r="L27" s="2">
        <v>156</v>
      </c>
      <c r="M27" s="2">
        <v>2.5569999999999999</v>
      </c>
      <c r="N27" s="2">
        <v>1</v>
      </c>
      <c r="O27" s="2">
        <v>1</v>
      </c>
      <c r="P27" s="2">
        <v>1</v>
      </c>
      <c r="Q27" s="2"/>
      <c r="R27" s="4"/>
      <c r="S27" s="4"/>
      <c r="T27" s="4"/>
      <c r="U27" s="4"/>
      <c r="V27" s="4"/>
      <c r="W27" s="4"/>
      <c r="X27" s="5">
        <v>15.071913559999761</v>
      </c>
      <c r="Y27" s="5">
        <v>13.272281569999899</v>
      </c>
      <c r="Z27" s="2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16" t="e">
        <f t="shared" si="0"/>
        <v>#DIV/0!</v>
      </c>
      <c r="AV27" s="16" t="e">
        <f t="shared" si="1"/>
        <v>#DIV/0!</v>
      </c>
    </row>
    <row r="28" spans="1:48" x14ac:dyDescent="0.25">
      <c r="A28" s="2" t="s">
        <v>46</v>
      </c>
      <c r="B28" s="2" t="s">
        <v>47</v>
      </c>
      <c r="C28" s="3">
        <v>0.01</v>
      </c>
      <c r="D28" s="3">
        <v>0.3</v>
      </c>
      <c r="E28" s="2" t="s">
        <v>52</v>
      </c>
      <c r="F28" s="3">
        <v>1</v>
      </c>
      <c r="G28" s="2" t="s">
        <v>49</v>
      </c>
      <c r="H28" s="2" t="s">
        <v>53</v>
      </c>
      <c r="I28" s="2">
        <v>91</v>
      </c>
      <c r="J28" s="2">
        <v>0</v>
      </c>
      <c r="K28" s="2">
        <v>97</v>
      </c>
      <c r="L28" s="2">
        <v>156</v>
      </c>
      <c r="M28" s="2">
        <v>1.714</v>
      </c>
      <c r="N28" s="2">
        <v>1</v>
      </c>
      <c r="O28" s="2">
        <v>1</v>
      </c>
      <c r="P28" s="2">
        <v>9514</v>
      </c>
      <c r="Q28" s="2">
        <v>1</v>
      </c>
      <c r="R28" s="4">
        <v>3.742455005645752</v>
      </c>
      <c r="S28" s="4">
        <v>6.0186184247334804</v>
      </c>
      <c r="T28" s="4"/>
      <c r="U28" s="4"/>
      <c r="V28" s="4"/>
      <c r="W28" s="4">
        <v>2.1506885066628401E-2</v>
      </c>
      <c r="X28" s="5">
        <v>81.120239987000332</v>
      </c>
      <c r="Y28" s="5">
        <v>352.03090739999971</v>
      </c>
      <c r="Z28" s="2">
        <v>0</v>
      </c>
      <c r="AA28" s="3">
        <v>0.1070707142353057</v>
      </c>
      <c r="AB28" s="3">
        <v>4.3780431151389999E-2</v>
      </c>
      <c r="AC28" s="3">
        <v>0</v>
      </c>
      <c r="AD28" s="3">
        <v>0</v>
      </c>
      <c r="AE28" s="3">
        <v>-2.6217206741487611</v>
      </c>
      <c r="AF28" s="3">
        <v>0.79389558763976598</v>
      </c>
      <c r="AG28" s="3">
        <v>-0.46893454832177728</v>
      </c>
      <c r="AH28" s="3">
        <v>-2.486006774292393</v>
      </c>
      <c r="AI28" s="3">
        <v>-3.1105586604929281</v>
      </c>
      <c r="AJ28" s="3">
        <v>-0.63841277311207079</v>
      </c>
      <c r="AK28" s="3">
        <v>-0.5470818607585155</v>
      </c>
      <c r="AL28" s="3">
        <v>-0.2036444674793309</v>
      </c>
      <c r="AM28" s="3">
        <v>-3.05151865798857</v>
      </c>
      <c r="AN28" s="3">
        <v>0.50964046778799654</v>
      </c>
      <c r="AO28" s="3">
        <v>-0.64093022449158066</v>
      </c>
      <c r="AP28" s="3">
        <v>6.623700830881E-4</v>
      </c>
      <c r="AQ28" s="3">
        <v>-2.8986737023029829</v>
      </c>
      <c r="AR28" s="3">
        <v>0.86873296205548445</v>
      </c>
      <c r="AS28" s="3">
        <v>-0.73338081707121461</v>
      </c>
      <c r="AT28" s="3">
        <v>-0.56786228676662565</v>
      </c>
      <c r="AU28" s="16">
        <f t="shared" si="0"/>
        <v>-0.83279596102133469</v>
      </c>
      <c r="AV28" s="16">
        <f t="shared" si="1"/>
        <v>-1.0387175179645898</v>
      </c>
    </row>
    <row r="29" spans="1:48" x14ac:dyDescent="0.25">
      <c r="A29" s="2" t="s">
        <v>46</v>
      </c>
      <c r="B29" s="2" t="s">
        <v>47</v>
      </c>
      <c r="C29" s="3">
        <v>0.01</v>
      </c>
      <c r="D29" s="3">
        <v>0.3</v>
      </c>
      <c r="E29" s="2" t="s">
        <v>52</v>
      </c>
      <c r="F29" s="3">
        <v>1</v>
      </c>
      <c r="G29" s="2" t="s">
        <v>51</v>
      </c>
      <c r="H29" s="2" t="s">
        <v>53</v>
      </c>
      <c r="I29" s="2">
        <v>91</v>
      </c>
      <c r="J29" s="2">
        <v>0</v>
      </c>
      <c r="K29" s="2">
        <v>97</v>
      </c>
      <c r="L29" s="2">
        <v>156</v>
      </c>
      <c r="M29" s="2">
        <v>1.714</v>
      </c>
      <c r="N29" s="2">
        <v>1</v>
      </c>
      <c r="O29" s="2">
        <v>1</v>
      </c>
      <c r="P29" s="2">
        <v>164</v>
      </c>
      <c r="Q29" s="2">
        <v>2</v>
      </c>
      <c r="R29" s="4">
        <v>3.995387077331543</v>
      </c>
      <c r="S29" s="4">
        <v>5.2221916516621913</v>
      </c>
      <c r="T29" s="4"/>
      <c r="U29" s="4"/>
      <c r="V29" s="4"/>
      <c r="W29" s="4">
        <v>3.32983508706092E-2</v>
      </c>
      <c r="X29" s="5">
        <v>18.1454379830002</v>
      </c>
      <c r="Y29" s="5">
        <v>24.993561817999758</v>
      </c>
      <c r="Z29" s="2">
        <v>0</v>
      </c>
      <c r="AA29" s="3">
        <v>9.0827718377113301E-2</v>
      </c>
      <c r="AB29" s="3">
        <v>-3.3611104299779981E-7</v>
      </c>
      <c r="AC29" s="3">
        <v>0</v>
      </c>
      <c r="AD29" s="3">
        <v>0</v>
      </c>
      <c r="AE29" s="3">
        <v>-1.9774290034349711</v>
      </c>
      <c r="AF29" s="3">
        <v>0.74024412669066142</v>
      </c>
      <c r="AG29" s="3">
        <v>-0.58110384038519092</v>
      </c>
      <c r="AH29" s="3">
        <v>-1.1017567337647329</v>
      </c>
      <c r="AI29" s="3">
        <v>-2.7866823582872011</v>
      </c>
      <c r="AJ29" s="3">
        <v>6.33025270198459E-2</v>
      </c>
      <c r="AK29" s="3">
        <v>-0.47497146011319308</v>
      </c>
      <c r="AL29" s="3">
        <v>-0.42260296289077948</v>
      </c>
      <c r="AM29" s="3">
        <v>-2.5405679365717009</v>
      </c>
      <c r="AN29" s="3">
        <v>0.89689469815190503</v>
      </c>
      <c r="AO29" s="3">
        <v>-0.87145108871476706</v>
      </c>
      <c r="AP29" s="3">
        <v>-6.7457633477735202E-2</v>
      </c>
      <c r="AQ29" s="3">
        <v>-2.0930238917584161</v>
      </c>
      <c r="AR29" s="3">
        <v>0.4682914270038937</v>
      </c>
      <c r="AS29" s="3">
        <v>-1.1073897722428609</v>
      </c>
      <c r="AT29" s="3">
        <v>-0.13704909029237511</v>
      </c>
      <c r="AU29" s="16">
        <f t="shared" si="0"/>
        <v>-0.71729283182243952</v>
      </c>
      <c r="AV29" s="16">
        <f t="shared" si="1"/>
        <v>-0.76029847214815494</v>
      </c>
    </row>
    <row r="30" spans="1:48" x14ac:dyDescent="0.25">
      <c r="A30" s="2" t="s">
        <v>46</v>
      </c>
      <c r="B30" s="2" t="s">
        <v>47</v>
      </c>
      <c r="C30" s="3">
        <v>0.01</v>
      </c>
      <c r="D30" s="3">
        <v>0.3</v>
      </c>
      <c r="E30" s="2" t="s">
        <v>54</v>
      </c>
      <c r="F30" s="3">
        <v>1</v>
      </c>
      <c r="G30" s="2" t="s">
        <v>49</v>
      </c>
      <c r="H30" s="2" t="s">
        <v>55</v>
      </c>
      <c r="I30" s="2">
        <v>195</v>
      </c>
      <c r="J30" s="2">
        <v>0</v>
      </c>
      <c r="K30" s="2">
        <v>201</v>
      </c>
      <c r="L30" s="2">
        <v>156</v>
      </c>
      <c r="M30" s="2">
        <v>0.8</v>
      </c>
      <c r="N30" s="2">
        <v>1</v>
      </c>
      <c r="O30" s="2">
        <v>0</v>
      </c>
      <c r="P30" s="2">
        <v>10000</v>
      </c>
      <c r="Q30" s="2">
        <v>9591</v>
      </c>
      <c r="R30" s="4">
        <v>3.2815816402435298</v>
      </c>
      <c r="S30" s="4">
        <v>3.5011626084645591</v>
      </c>
      <c r="T30" s="4"/>
      <c r="U30" s="4">
        <v>5.3465317090352373</v>
      </c>
      <c r="V30" s="4">
        <v>4.7544164657592773</v>
      </c>
      <c r="W30" s="4">
        <v>0.14950370788574219</v>
      </c>
      <c r="X30" s="5">
        <v>90.620366180000019</v>
      </c>
      <c r="Y30" s="5">
        <v>503.16627424499978</v>
      </c>
      <c r="Z30" s="2">
        <v>0</v>
      </c>
      <c r="AA30" s="3">
        <v>0.23357495665550229</v>
      </c>
      <c r="AB30" s="3">
        <v>7.1374724939232692E-6</v>
      </c>
      <c r="AC30" s="3">
        <v>0</v>
      </c>
      <c r="AD30" s="3">
        <v>0</v>
      </c>
      <c r="AE30" s="3">
        <v>-2.820026626989165</v>
      </c>
      <c r="AF30" s="3">
        <v>0.80235077033445945</v>
      </c>
      <c r="AG30" s="3">
        <v>-1.10380457254448E-2</v>
      </c>
      <c r="AH30" s="3">
        <v>0.67405776996137856</v>
      </c>
      <c r="AI30" s="3">
        <v>-2.8815603068136459</v>
      </c>
      <c r="AJ30" s="3">
        <v>0.81238285898960494</v>
      </c>
      <c r="AK30" s="3">
        <v>-8.4521850021117007E-3</v>
      </c>
      <c r="AL30" s="3">
        <v>-0.28305967173267121</v>
      </c>
      <c r="AM30" s="3">
        <v>-2.8869506437611339</v>
      </c>
      <c r="AN30" s="3">
        <v>0.79695603686324401</v>
      </c>
      <c r="AO30" s="3">
        <v>-0.26685773733769058</v>
      </c>
      <c r="AP30" s="3">
        <v>0.83135124335952293</v>
      </c>
      <c r="AQ30" s="3">
        <v>-2.7687173849921698</v>
      </c>
      <c r="AR30" s="3">
        <v>0.39742323872865692</v>
      </c>
      <c r="AS30" s="3">
        <v>-0.58731728281969509</v>
      </c>
      <c r="AT30" s="3">
        <v>0.8437611816867856</v>
      </c>
      <c r="AU30" s="16">
        <f t="shared" si="0"/>
        <v>-0.52871256184910576</v>
      </c>
      <c r="AV30" s="16">
        <f t="shared" si="1"/>
        <v>-0.43673721148780437</v>
      </c>
    </row>
    <row r="31" spans="1:48" x14ac:dyDescent="0.25">
      <c r="A31" s="2" t="s">
        <v>46</v>
      </c>
      <c r="B31" s="2" t="s">
        <v>47</v>
      </c>
      <c r="C31" s="3">
        <v>0.01</v>
      </c>
      <c r="D31" s="3">
        <v>0.3</v>
      </c>
      <c r="E31" s="2" t="s">
        <v>54</v>
      </c>
      <c r="F31" s="3">
        <v>1</v>
      </c>
      <c r="G31" s="2" t="s">
        <v>51</v>
      </c>
      <c r="H31" s="2" t="s">
        <v>55</v>
      </c>
      <c r="I31" s="2">
        <v>195</v>
      </c>
      <c r="J31" s="2">
        <v>0</v>
      </c>
      <c r="K31" s="2">
        <v>201</v>
      </c>
      <c r="L31" s="2">
        <v>156</v>
      </c>
      <c r="M31" s="2">
        <v>0.8</v>
      </c>
      <c r="N31" s="2">
        <v>1</v>
      </c>
      <c r="O31" s="2">
        <v>1</v>
      </c>
      <c r="P31" s="2">
        <v>117</v>
      </c>
      <c r="Q31" s="2">
        <v>110</v>
      </c>
      <c r="R31" s="4">
        <v>4.5666217803955078</v>
      </c>
      <c r="S31" s="4">
        <v>5.2764484087626142</v>
      </c>
      <c r="T31" s="4"/>
      <c r="U31" s="4"/>
      <c r="V31" s="4"/>
      <c r="W31" s="4">
        <v>0.12982773780822751</v>
      </c>
      <c r="X31" s="5">
        <v>19.300545487999891</v>
      </c>
      <c r="Y31" s="5">
        <v>21.296917445999501</v>
      </c>
      <c r="Z31" s="2">
        <v>0</v>
      </c>
      <c r="AA31" s="3">
        <v>4.0573161095380002E-3</v>
      </c>
      <c r="AB31" s="3">
        <v>4.9207015037536621</v>
      </c>
      <c r="AC31" s="3">
        <v>0</v>
      </c>
      <c r="AD31" s="3">
        <v>0</v>
      </c>
      <c r="AE31" s="3">
        <v>-3.2811985591599031</v>
      </c>
      <c r="AF31" s="3">
        <v>0.60359351929703098</v>
      </c>
      <c r="AG31" s="3">
        <v>4.8639103168276902E-2</v>
      </c>
      <c r="AH31" s="3">
        <v>-1.7353964990790181</v>
      </c>
      <c r="AI31" s="3">
        <v>-3.4406126794831131</v>
      </c>
      <c r="AJ31" s="3">
        <v>0.68136233622600861</v>
      </c>
      <c r="AK31" s="3">
        <v>-0.1459193439401345</v>
      </c>
      <c r="AL31" s="3">
        <v>-1.8303664993291531</v>
      </c>
      <c r="AM31" s="3">
        <v>-3.318194166548972</v>
      </c>
      <c r="AN31" s="3">
        <v>0.36517093109027909</v>
      </c>
      <c r="AO31" s="3">
        <v>-0.2952313425506865</v>
      </c>
      <c r="AP31" s="3">
        <v>-1.6881417897172319</v>
      </c>
      <c r="AQ31" s="3">
        <v>-3.202924741134908</v>
      </c>
      <c r="AR31" s="3">
        <v>0.58068202290067772</v>
      </c>
      <c r="AS31" s="3">
        <v>-0.45501842421664551</v>
      </c>
      <c r="AT31" s="3">
        <v>-1.872234201287851</v>
      </c>
      <c r="AU31" s="16">
        <f t="shared" si="0"/>
        <v>-1.2373738359346818</v>
      </c>
      <c r="AV31" s="16">
        <f t="shared" si="1"/>
        <v>-1.1696912491688847</v>
      </c>
    </row>
    <row r="32" spans="1:48" x14ac:dyDescent="0.25">
      <c r="A32" s="2" t="s">
        <v>46</v>
      </c>
      <c r="B32" s="2" t="s">
        <v>47</v>
      </c>
      <c r="C32" s="3">
        <v>0.01</v>
      </c>
      <c r="D32" s="3">
        <v>0.3</v>
      </c>
      <c r="E32" s="2" t="s">
        <v>56</v>
      </c>
      <c r="F32" s="3">
        <v>1</v>
      </c>
      <c r="G32" s="2" t="s">
        <v>49</v>
      </c>
      <c r="H32" s="2" t="s">
        <v>57</v>
      </c>
      <c r="I32" s="2">
        <v>251</v>
      </c>
      <c r="J32" s="2">
        <v>0</v>
      </c>
      <c r="K32" s="2">
        <v>257</v>
      </c>
      <c r="L32" s="2">
        <v>156</v>
      </c>
      <c r="M32" s="2">
        <v>0.622</v>
      </c>
      <c r="N32" s="2">
        <v>1</v>
      </c>
      <c r="O32" s="2">
        <v>1</v>
      </c>
      <c r="P32" s="2">
        <v>72</v>
      </c>
      <c r="Q32" s="2">
        <v>22</v>
      </c>
      <c r="R32" s="4">
        <v>4.549492359161377</v>
      </c>
      <c r="S32" s="4">
        <v>5.4113704363505049</v>
      </c>
      <c r="T32" s="4"/>
      <c r="U32" s="4"/>
      <c r="V32" s="4"/>
      <c r="W32" s="4">
        <v>0.23123843967914581</v>
      </c>
      <c r="X32" s="5">
        <v>21.594198052000131</v>
      </c>
      <c r="Y32" s="5">
        <v>24.761995376999039</v>
      </c>
      <c r="Z32" s="2">
        <v>0</v>
      </c>
      <c r="AA32" s="3">
        <v>4.4014318846166004E-3</v>
      </c>
      <c r="AB32" s="3">
        <v>7.1055283546447754</v>
      </c>
      <c r="AC32" s="3">
        <v>0</v>
      </c>
      <c r="AD32" s="3">
        <v>0</v>
      </c>
      <c r="AE32" s="3">
        <v>-3.29353318593318</v>
      </c>
      <c r="AF32" s="3">
        <v>0.51896958883204047</v>
      </c>
      <c r="AG32" s="3">
        <v>-8.3574222541177898E-2</v>
      </c>
      <c r="AH32" s="3">
        <v>-1.7353964990790181</v>
      </c>
      <c r="AI32" s="3">
        <v>-3.4664607129337188</v>
      </c>
      <c r="AJ32" s="3">
        <v>0.46452965840635219</v>
      </c>
      <c r="AK32" s="3">
        <v>-0.19061843605210721</v>
      </c>
      <c r="AL32" s="3">
        <v>-1.8303664993291531</v>
      </c>
      <c r="AM32" s="3">
        <v>-3.2994949608972362</v>
      </c>
      <c r="AN32" s="3">
        <v>0.51947184180870343</v>
      </c>
      <c r="AO32" s="3">
        <v>-0.1096871106077834</v>
      </c>
      <c r="AP32" s="3">
        <v>-1.6881417897172319</v>
      </c>
      <c r="AQ32" s="3">
        <v>-3.2042340733056851</v>
      </c>
      <c r="AR32" s="3">
        <v>0.58153975847864503</v>
      </c>
      <c r="AS32" s="3">
        <v>-0.43653726763818151</v>
      </c>
      <c r="AT32" s="3">
        <v>-1.872234201287851</v>
      </c>
      <c r="AU32" s="16">
        <f t="shared" si="0"/>
        <v>-1.2328664459382681</v>
      </c>
      <c r="AV32" s="16">
        <f t="shared" si="1"/>
        <v>-1.1828585273369592</v>
      </c>
    </row>
    <row r="33" spans="1:48" x14ac:dyDescent="0.25">
      <c r="A33" s="2" t="s">
        <v>46</v>
      </c>
      <c r="B33" s="2" t="s">
        <v>47</v>
      </c>
      <c r="C33" s="3">
        <v>0.01</v>
      </c>
      <c r="D33" s="3">
        <v>0.3</v>
      </c>
      <c r="E33" s="2" t="s">
        <v>56</v>
      </c>
      <c r="F33" s="3">
        <v>1</v>
      </c>
      <c r="G33" s="2" t="s">
        <v>51</v>
      </c>
      <c r="H33" s="2" t="s">
        <v>57</v>
      </c>
      <c r="I33" s="2">
        <v>251</v>
      </c>
      <c r="J33" s="2">
        <v>0</v>
      </c>
      <c r="K33" s="2">
        <v>257</v>
      </c>
      <c r="L33" s="2">
        <v>156</v>
      </c>
      <c r="M33" s="2">
        <v>0.622</v>
      </c>
      <c r="N33" s="2">
        <v>1</v>
      </c>
      <c r="O33" s="2">
        <v>1</v>
      </c>
      <c r="P33" s="2">
        <v>1780</v>
      </c>
      <c r="Q33" s="2">
        <v>2</v>
      </c>
      <c r="R33" s="4">
        <v>3.851526260375977</v>
      </c>
      <c r="S33" s="4">
        <v>6.0497206052144374</v>
      </c>
      <c r="T33" s="4"/>
      <c r="U33" s="4"/>
      <c r="V33" s="4"/>
      <c r="W33" s="4">
        <v>3.7327609956264399E-2</v>
      </c>
      <c r="X33" s="5">
        <v>33.454534273999798</v>
      </c>
      <c r="Y33" s="5">
        <v>94.392944323000833</v>
      </c>
      <c r="Z33" s="2">
        <v>0</v>
      </c>
      <c r="AA33" s="3">
        <v>1.7664104700088501E-2</v>
      </c>
      <c r="AB33" s="3">
        <v>10.16995239257812</v>
      </c>
      <c r="AC33" s="3">
        <v>0</v>
      </c>
      <c r="AD33" s="3">
        <v>0</v>
      </c>
      <c r="AE33" s="3">
        <v>-3.24522888767746</v>
      </c>
      <c r="AF33" s="3">
        <v>0.63063993641515292</v>
      </c>
      <c r="AG33" s="3">
        <v>-0.28979604076770737</v>
      </c>
      <c r="AH33" s="3">
        <v>-0.25517481367472561</v>
      </c>
      <c r="AI33" s="3">
        <v>-3.4688971317126711</v>
      </c>
      <c r="AJ33" s="3">
        <v>-0.78924667260835646</v>
      </c>
      <c r="AK33" s="3">
        <v>-0.30722880636585498</v>
      </c>
      <c r="AL33" s="3">
        <v>-0.67868512440043349</v>
      </c>
      <c r="AM33" s="3">
        <v>-3.3024392961081648</v>
      </c>
      <c r="AN33" s="3">
        <v>4.4826781609411198E-2</v>
      </c>
      <c r="AO33" s="3">
        <v>-0.66625634967562242</v>
      </c>
      <c r="AP33" s="3">
        <v>-0.93013885742675517</v>
      </c>
      <c r="AQ33" s="3">
        <v>-3.1746150496415102</v>
      </c>
      <c r="AR33" s="3">
        <v>0.71404725212490794</v>
      </c>
      <c r="AS33" s="3">
        <v>-0.6514005161950589</v>
      </c>
      <c r="AT33" s="3">
        <v>-0.46437103736135871</v>
      </c>
      <c r="AU33" s="16">
        <f t="shared" si="0"/>
        <v>-0.89408483776825498</v>
      </c>
      <c r="AV33" s="16">
        <f t="shared" si="1"/>
        <v>-1.1048021051994323</v>
      </c>
    </row>
    <row r="34" spans="1:48" x14ac:dyDescent="0.25">
      <c r="A34" s="2" t="s">
        <v>46</v>
      </c>
      <c r="B34" s="2" t="s">
        <v>47</v>
      </c>
      <c r="C34" s="3">
        <v>1E-3</v>
      </c>
      <c r="D34" s="3">
        <v>0.1</v>
      </c>
      <c r="E34" s="2" t="s">
        <v>48</v>
      </c>
      <c r="F34" s="3">
        <v>1</v>
      </c>
      <c r="G34" s="2" t="s">
        <v>49</v>
      </c>
      <c r="H34" s="2" t="s">
        <v>50</v>
      </c>
      <c r="I34" s="2">
        <v>61</v>
      </c>
      <c r="J34" s="2">
        <v>0</v>
      </c>
      <c r="K34" s="2">
        <v>67</v>
      </c>
      <c r="L34" s="2">
        <v>156</v>
      </c>
      <c r="M34" s="2">
        <v>2.5569999999999999</v>
      </c>
      <c r="N34" s="2">
        <v>2</v>
      </c>
      <c r="O34" s="2">
        <v>1</v>
      </c>
      <c r="P34" s="2">
        <v>4</v>
      </c>
      <c r="Q34" s="2">
        <v>3</v>
      </c>
      <c r="R34" s="4">
        <v>4.3299851417541504</v>
      </c>
      <c r="S34" s="4">
        <v>7.7221407890319824</v>
      </c>
      <c r="T34" s="4"/>
      <c r="U34" s="4">
        <v>6.764866828918457</v>
      </c>
      <c r="V34" s="4"/>
      <c r="W34" s="4">
        <v>6.6168126650154001E-3</v>
      </c>
      <c r="X34" s="5">
        <v>14.4796747169994</v>
      </c>
      <c r="Y34" s="5">
        <v>11.887749725998219</v>
      </c>
      <c r="Z34" s="2">
        <v>1</v>
      </c>
      <c r="AA34" s="3">
        <v>0.1045679077506065</v>
      </c>
      <c r="AB34" s="3">
        <v>8.4461040496826172</v>
      </c>
      <c r="AC34" s="3">
        <v>-2.5586225092411041E-5</v>
      </c>
      <c r="AD34" s="3">
        <v>0</v>
      </c>
      <c r="AE34" s="3">
        <v>-2.8507122540433572</v>
      </c>
      <c r="AF34" s="3">
        <v>0.15608610476876161</v>
      </c>
      <c r="AG34" s="3">
        <v>-0.58111613923180538</v>
      </c>
      <c r="AH34" s="3">
        <v>-1.1447310514135469</v>
      </c>
      <c r="AI34" s="3">
        <v>-3.305469122375436</v>
      </c>
      <c r="AJ34" s="3">
        <v>-2.1246107856170791</v>
      </c>
      <c r="AK34" s="3">
        <v>-0.47497146011319308</v>
      </c>
      <c r="AL34" s="3">
        <v>-1.5766205509580711</v>
      </c>
      <c r="AM34" s="3">
        <v>-3.0416780309497229</v>
      </c>
      <c r="AN34" s="3">
        <v>-7.6728445562936398E-2</v>
      </c>
      <c r="AO34" s="3">
        <v>-0.87145154924943635</v>
      </c>
      <c r="AP34" s="3">
        <v>-1.221131009893613</v>
      </c>
      <c r="AQ34" s="3">
        <v>-2.7641389858790131</v>
      </c>
      <c r="AR34" s="3">
        <v>0.8102902789332076</v>
      </c>
      <c r="AS34" s="3">
        <v>-1.1078106668150169</v>
      </c>
      <c r="AT34" s="3">
        <v>-1.0049674560818931</v>
      </c>
      <c r="AU34" s="16">
        <f t="shared" si="0"/>
        <v>-1.0166567074606789</v>
      </c>
      <c r="AV34" s="16">
        <f t="shared" si="1"/>
        <v>-1.4260945245532863</v>
      </c>
    </row>
    <row r="35" spans="1:48" x14ac:dyDescent="0.25">
      <c r="A35" s="2" t="s">
        <v>46</v>
      </c>
      <c r="B35" s="2" t="s">
        <v>47</v>
      </c>
      <c r="C35" s="3">
        <v>1E-3</v>
      </c>
      <c r="D35" s="3">
        <v>0.1</v>
      </c>
      <c r="E35" s="2" t="s">
        <v>48</v>
      </c>
      <c r="F35" s="3">
        <v>1</v>
      </c>
      <c r="G35" s="2" t="s">
        <v>49</v>
      </c>
      <c r="H35" s="2" t="s">
        <v>50</v>
      </c>
      <c r="I35" s="2">
        <v>61</v>
      </c>
      <c r="J35" s="2">
        <v>0</v>
      </c>
      <c r="K35" s="2">
        <v>67</v>
      </c>
      <c r="L35" s="2">
        <v>156</v>
      </c>
      <c r="M35" s="2">
        <v>2.5569999999999999</v>
      </c>
      <c r="N35" s="2">
        <v>3</v>
      </c>
      <c r="O35" s="2">
        <v>1</v>
      </c>
      <c r="P35" s="2">
        <v>169</v>
      </c>
      <c r="Q35" s="2">
        <v>71</v>
      </c>
      <c r="R35" s="4">
        <v>2.7037127017974849</v>
      </c>
      <c r="S35" s="4">
        <v>2.2086710135142011</v>
      </c>
      <c r="T35" s="4"/>
      <c r="U35" s="4">
        <v>1.367301821708679</v>
      </c>
      <c r="V35" s="4"/>
      <c r="W35" s="4">
        <v>6.7797839641571003E-2</v>
      </c>
      <c r="X35" s="5">
        <v>15.655340002999759</v>
      </c>
      <c r="Y35" s="5">
        <v>22.48442184599844</v>
      </c>
      <c r="Z35" s="2">
        <v>0</v>
      </c>
      <c r="AA35" s="3">
        <v>0.22235150635242459</v>
      </c>
      <c r="AB35" s="3">
        <v>-3.7510616834879329E-10</v>
      </c>
      <c r="AC35" s="3">
        <v>-1.521357262390666E-8</v>
      </c>
      <c r="AD35" s="3">
        <v>0</v>
      </c>
      <c r="AE35" s="3">
        <v>-1.2964781083776551</v>
      </c>
      <c r="AF35" s="3">
        <v>0.68414041536804771</v>
      </c>
      <c r="AG35" s="3">
        <v>0.63393430831566477</v>
      </c>
      <c r="AH35" s="3">
        <v>0.72556539747531434</v>
      </c>
      <c r="AI35" s="3">
        <v>-1.6483675342937549</v>
      </c>
      <c r="AJ35" s="3">
        <v>0.76332433871409833</v>
      </c>
      <c r="AK35" s="3">
        <v>0.22498120958126569</v>
      </c>
      <c r="AL35" s="3">
        <v>0.55874510644011544</v>
      </c>
      <c r="AM35" s="3">
        <v>-1.374189304924927</v>
      </c>
      <c r="AN35" s="3">
        <v>0.57994834819120333</v>
      </c>
      <c r="AO35" s="3">
        <v>0.65475120246791263</v>
      </c>
      <c r="AP35" s="3">
        <v>0.7265953126809741</v>
      </c>
      <c r="AQ35" s="3">
        <v>-1.002476245418638</v>
      </c>
      <c r="AR35" s="3">
        <v>1.883715703676E-4</v>
      </c>
      <c r="AS35" s="3">
        <v>-9.0426837949933295E-2</v>
      </c>
      <c r="AT35" s="3">
        <v>0.79346118170398272</v>
      </c>
      <c r="AU35" s="16">
        <f t="shared" si="0"/>
        <v>-7.4813382523555239E-2</v>
      </c>
      <c r="AV35" s="16">
        <f t="shared" si="1"/>
        <v>0.10274589096985494</v>
      </c>
    </row>
    <row r="36" spans="1:48" x14ac:dyDescent="0.25">
      <c r="A36" s="2" t="s">
        <v>46</v>
      </c>
      <c r="B36" s="2" t="s">
        <v>47</v>
      </c>
      <c r="C36" s="3">
        <v>1E-3</v>
      </c>
      <c r="D36" s="3">
        <v>0.1</v>
      </c>
      <c r="E36" s="2" t="s">
        <v>48</v>
      </c>
      <c r="F36" s="3">
        <v>1</v>
      </c>
      <c r="G36" s="2" t="s">
        <v>51</v>
      </c>
      <c r="H36" s="2" t="s">
        <v>50</v>
      </c>
      <c r="I36" s="2">
        <v>61</v>
      </c>
      <c r="J36" s="2">
        <v>0</v>
      </c>
      <c r="K36" s="2">
        <v>67</v>
      </c>
      <c r="L36" s="2">
        <v>156</v>
      </c>
      <c r="M36" s="2">
        <v>2.5569999999999999</v>
      </c>
      <c r="N36" s="2">
        <v>2</v>
      </c>
      <c r="O36" s="2">
        <v>0</v>
      </c>
      <c r="P36" s="2">
        <v>10000</v>
      </c>
      <c r="Q36" s="2">
        <v>3</v>
      </c>
      <c r="R36" s="4">
        <v>3.7822306156158452</v>
      </c>
      <c r="S36" s="4">
        <v>6.8960460027058916</v>
      </c>
      <c r="T36" s="4"/>
      <c r="U36" s="4">
        <v>5.9977092742919922</v>
      </c>
      <c r="V36" s="4">
        <v>5.3842563629150391</v>
      </c>
      <c r="W36" s="4">
        <v>4.2248922400175996E-3</v>
      </c>
      <c r="X36" s="5">
        <v>80.452488690999871</v>
      </c>
      <c r="Y36" s="5">
        <v>306.92272354099993</v>
      </c>
      <c r="Z36" s="2">
        <v>0</v>
      </c>
      <c r="AA36" s="3">
        <v>0.1041221469640731</v>
      </c>
      <c r="AB36" s="3">
        <v>4.2086086273193359</v>
      </c>
      <c r="AC36" s="3">
        <v>0</v>
      </c>
      <c r="AD36" s="3">
        <v>0</v>
      </c>
      <c r="AE36" s="3">
        <v>-3.0008618381840511</v>
      </c>
      <c r="AF36" s="3">
        <v>0.51179236009012696</v>
      </c>
      <c r="AG36" s="3">
        <v>-0.5533825135399193</v>
      </c>
      <c r="AH36" s="3">
        <v>-0.37055180148220401</v>
      </c>
      <c r="AI36" s="3">
        <v>-3.3691469996768371</v>
      </c>
      <c r="AJ36" s="3">
        <v>-1.707360114587211</v>
      </c>
      <c r="AK36" s="3">
        <v>-0.44757690673701339</v>
      </c>
      <c r="AL36" s="3">
        <v>-1.230953959576023</v>
      </c>
      <c r="AM36" s="3">
        <v>-3.146577070056368</v>
      </c>
      <c r="AN36" s="3">
        <v>0.2095539214255577</v>
      </c>
      <c r="AO36" s="3">
        <v>-0.78175115534572392</v>
      </c>
      <c r="AP36" s="3">
        <v>-0.7584165501865463</v>
      </c>
      <c r="AQ36" s="3">
        <v>-2.9453832616175362</v>
      </c>
      <c r="AR36" s="3">
        <v>0.8691372820387222</v>
      </c>
      <c r="AS36" s="3">
        <v>-0.91402995929232278</v>
      </c>
      <c r="AT36" s="3">
        <v>-0.31051542745935218</v>
      </c>
      <c r="AU36" s="16">
        <f t="shared" si="0"/>
        <v>-0.8251978415826221</v>
      </c>
      <c r="AV36" s="16">
        <f t="shared" si="1"/>
        <v>-1.2204360523213511</v>
      </c>
    </row>
    <row r="37" spans="1:48" x14ac:dyDescent="0.25">
      <c r="A37" s="2" t="s">
        <v>46</v>
      </c>
      <c r="B37" s="2" t="s">
        <v>47</v>
      </c>
      <c r="C37" s="3">
        <v>1E-3</v>
      </c>
      <c r="D37" s="3">
        <v>0.1</v>
      </c>
      <c r="E37" s="2" t="s">
        <v>48</v>
      </c>
      <c r="F37" s="3">
        <v>1</v>
      </c>
      <c r="G37" s="2" t="s">
        <v>51</v>
      </c>
      <c r="H37" s="2" t="s">
        <v>50</v>
      </c>
      <c r="I37" s="2">
        <v>61</v>
      </c>
      <c r="J37" s="2">
        <v>0</v>
      </c>
      <c r="K37" s="2">
        <v>67</v>
      </c>
      <c r="L37" s="2">
        <v>156</v>
      </c>
      <c r="M37" s="2">
        <v>2.5569999999999999</v>
      </c>
      <c r="N37" s="2">
        <v>3</v>
      </c>
      <c r="O37" s="2">
        <v>1</v>
      </c>
      <c r="P37" s="2">
        <v>4</v>
      </c>
      <c r="Q37" s="2">
        <v>3</v>
      </c>
      <c r="R37" s="4">
        <v>3.7923450469970699</v>
      </c>
      <c r="S37" s="4">
        <v>5.7261331876118966</v>
      </c>
      <c r="T37" s="4"/>
      <c r="U37" s="4"/>
      <c r="V37" s="4"/>
      <c r="W37" s="4">
        <v>5.6379446759819004E-3</v>
      </c>
      <c r="X37" s="5">
        <v>14.551169354999731</v>
      </c>
      <c r="Y37" s="5">
        <v>14.041185758000211</v>
      </c>
      <c r="Z37" s="2">
        <v>1</v>
      </c>
      <c r="AA37" s="3">
        <v>0.1046299263834953</v>
      </c>
      <c r="AB37" s="3">
        <v>3.7672674807254232E-5</v>
      </c>
      <c r="AC37" s="3">
        <v>-2.0227744244039059E-6</v>
      </c>
      <c r="AD37" s="3">
        <v>0</v>
      </c>
      <c r="AE37" s="3">
        <v>-2.269807139324453</v>
      </c>
      <c r="AF37" s="3">
        <v>0.88784433073989399</v>
      </c>
      <c r="AG37" s="3">
        <v>-0.58110384038519092</v>
      </c>
      <c r="AH37" s="3">
        <v>-0.61866044668783315</v>
      </c>
      <c r="AI37" s="3">
        <v>-3.0204804734021682</v>
      </c>
      <c r="AJ37" s="3">
        <v>-0.51816484626666015</v>
      </c>
      <c r="AK37" s="3">
        <v>-0.47552170202837463</v>
      </c>
      <c r="AL37" s="3">
        <v>-1.093676637751817</v>
      </c>
      <c r="AM37" s="3">
        <v>-2.4750469441679499</v>
      </c>
      <c r="AN37" s="3">
        <v>0.90547654003606204</v>
      </c>
      <c r="AO37" s="3">
        <v>-0.87145108871476706</v>
      </c>
      <c r="AP37" s="3">
        <v>-0.82126418938789469</v>
      </c>
      <c r="AQ37" s="3">
        <v>-1.833353631916093</v>
      </c>
      <c r="AR37" s="3">
        <v>0.74926978490511309</v>
      </c>
      <c r="AS37" s="3">
        <v>-1.1073897722428609</v>
      </c>
      <c r="AT37" s="3">
        <v>-0.42720553083682922</v>
      </c>
      <c r="AU37" s="16">
        <f t="shared" si="0"/>
        <v>-0.65466978752266747</v>
      </c>
      <c r="AV37" s="16">
        <f t="shared" si="1"/>
        <v>-0.91265470311176278</v>
      </c>
    </row>
    <row r="38" spans="1:48" x14ac:dyDescent="0.25">
      <c r="A38" s="2" t="s">
        <v>46</v>
      </c>
      <c r="B38" s="2" t="s">
        <v>47</v>
      </c>
      <c r="C38" s="3">
        <v>1E-3</v>
      </c>
      <c r="D38" s="3">
        <v>0.1</v>
      </c>
      <c r="E38" s="2" t="s">
        <v>52</v>
      </c>
      <c r="F38" s="3">
        <v>1</v>
      </c>
      <c r="G38" s="2" t="s">
        <v>49</v>
      </c>
      <c r="H38" s="2" t="s">
        <v>53</v>
      </c>
      <c r="I38" s="2">
        <v>91</v>
      </c>
      <c r="J38" s="2">
        <v>0</v>
      </c>
      <c r="K38" s="2">
        <v>97</v>
      </c>
      <c r="L38" s="2">
        <v>156</v>
      </c>
      <c r="M38" s="2">
        <v>1.714</v>
      </c>
      <c r="N38" s="2">
        <v>2</v>
      </c>
      <c r="O38" s="2">
        <v>1</v>
      </c>
      <c r="P38" s="2">
        <v>5428</v>
      </c>
      <c r="Q38" s="2">
        <v>5356</v>
      </c>
      <c r="R38" s="4">
        <v>2.1981756687164311</v>
      </c>
      <c r="S38" s="4">
        <v>0.95331531763076782</v>
      </c>
      <c r="T38" s="4"/>
      <c r="U38" s="4">
        <v>1.4949398835500081</v>
      </c>
      <c r="V38" s="4"/>
      <c r="W38" s="4">
        <v>7.3799774050712502E-2</v>
      </c>
      <c r="X38" s="5">
        <v>57.489229417999923</v>
      </c>
      <c r="Y38" s="5">
        <v>374.45983977799921</v>
      </c>
      <c r="Z38" s="2">
        <v>0</v>
      </c>
      <c r="AA38" s="3">
        <v>0.26339802145957941</v>
      </c>
      <c r="AB38" s="3">
        <v>-2.4300697987200692E-7</v>
      </c>
      <c r="AC38" s="3">
        <v>-2.9221365593912202E-7</v>
      </c>
      <c r="AD38" s="3">
        <v>0</v>
      </c>
      <c r="AE38" s="3">
        <v>-0.55849847748174164</v>
      </c>
      <c r="AF38" s="3">
        <v>0.96566663863841784</v>
      </c>
      <c r="AG38" s="3">
        <v>0.7607319664739961</v>
      </c>
      <c r="AH38" s="3">
        <v>0.90133443322769058</v>
      </c>
      <c r="AI38" s="3">
        <v>-0.3871450065999848</v>
      </c>
      <c r="AJ38" s="3">
        <v>0.9566641335118512</v>
      </c>
      <c r="AK38" s="3">
        <v>0.89006846717198917</v>
      </c>
      <c r="AL38" s="3">
        <v>0.87768081428719258</v>
      </c>
      <c r="AM38" s="3">
        <v>-1.009524406232678</v>
      </c>
      <c r="AN38" s="3">
        <v>0.92718599976367599</v>
      </c>
      <c r="AO38" s="3">
        <v>0.80715561555542958</v>
      </c>
      <c r="AP38" s="3">
        <v>0.64808984719960461</v>
      </c>
      <c r="AQ38" s="3">
        <v>0.22806066793265239</v>
      </c>
      <c r="AR38" s="3">
        <v>0.82867893320809594</v>
      </c>
      <c r="AS38" s="3">
        <v>-0.87412926357657783</v>
      </c>
      <c r="AT38" s="3">
        <v>0.81833301918082768</v>
      </c>
      <c r="AU38" s="16">
        <f t="shared" si="0"/>
        <v>0.25023583918624959</v>
      </c>
      <c r="AV38" s="16">
        <f t="shared" si="1"/>
        <v>0.4816175021262869</v>
      </c>
    </row>
    <row r="39" spans="1:48" x14ac:dyDescent="0.25">
      <c r="A39" s="2" t="s">
        <v>46</v>
      </c>
      <c r="B39" s="2" t="s">
        <v>47</v>
      </c>
      <c r="C39" s="3">
        <v>1E-3</v>
      </c>
      <c r="D39" s="3">
        <v>0.1</v>
      </c>
      <c r="E39" s="2" t="s">
        <v>52</v>
      </c>
      <c r="F39" s="3">
        <v>1</v>
      </c>
      <c r="G39" s="2" t="s">
        <v>49</v>
      </c>
      <c r="H39" s="2" t="s">
        <v>53</v>
      </c>
      <c r="I39" s="2">
        <v>91</v>
      </c>
      <c r="J39" s="2">
        <v>0</v>
      </c>
      <c r="K39" s="2">
        <v>97</v>
      </c>
      <c r="L39" s="2">
        <v>156</v>
      </c>
      <c r="M39" s="2">
        <v>1.714</v>
      </c>
      <c r="N39" s="2">
        <v>3</v>
      </c>
      <c r="O39" s="2">
        <v>1</v>
      </c>
      <c r="P39" s="2">
        <v>852</v>
      </c>
      <c r="Q39" s="2">
        <v>820</v>
      </c>
      <c r="R39" s="4">
        <v>3.0265588760375981</v>
      </c>
      <c r="S39" s="4">
        <v>1.3079550663630171</v>
      </c>
      <c r="T39" s="4"/>
      <c r="U39" s="4">
        <v>0.91169744729995716</v>
      </c>
      <c r="V39" s="4"/>
      <c r="W39" s="4">
        <v>0.1242239102721214</v>
      </c>
      <c r="X39" s="5">
        <v>22.713883384999459</v>
      </c>
      <c r="Y39" s="5">
        <v>81.822178787999292</v>
      </c>
      <c r="Z39" s="2">
        <v>0</v>
      </c>
      <c r="AA39" s="3">
        <v>0.1227966845035553</v>
      </c>
      <c r="AB39" s="3">
        <v>-1.550442902953364E-7</v>
      </c>
      <c r="AC39" s="3">
        <v>-2.67680945853499E-7</v>
      </c>
      <c r="AD39" s="3">
        <v>0</v>
      </c>
      <c r="AE39" s="3">
        <v>-1.1819070757201811</v>
      </c>
      <c r="AF39" s="3">
        <v>0.95820991314406556</v>
      </c>
      <c r="AG39" s="3">
        <v>0.66407358669317484</v>
      </c>
      <c r="AH39" s="3">
        <v>0.90074158850459163</v>
      </c>
      <c r="AI39" s="3">
        <v>-0.82720524604770707</v>
      </c>
      <c r="AJ39" s="3">
        <v>0.93143720007644837</v>
      </c>
      <c r="AK39" s="3">
        <v>0.80043690532900003</v>
      </c>
      <c r="AL39" s="3">
        <v>0.96776965205156296</v>
      </c>
      <c r="AM39" s="3">
        <v>-1.681014069924158</v>
      </c>
      <c r="AN39" s="3">
        <v>0.93369740206625695</v>
      </c>
      <c r="AO39" s="3">
        <v>0.63676493750643903</v>
      </c>
      <c r="AP39" s="3">
        <v>0.64112338975877292</v>
      </c>
      <c r="AQ39" s="3">
        <v>-0.37347260395398169</v>
      </c>
      <c r="AR39" s="3">
        <v>0.46245670405909411</v>
      </c>
      <c r="AS39" s="3">
        <v>-1.078087693939477</v>
      </c>
      <c r="AT39" s="3">
        <v>0.63877651194756391</v>
      </c>
      <c r="AU39" s="16">
        <f t="shared" si="0"/>
        <v>-8.7581770471700182E-2</v>
      </c>
      <c r="AV39" s="16">
        <f t="shared" si="1"/>
        <v>0.31201068195318887</v>
      </c>
    </row>
    <row r="40" spans="1:48" x14ac:dyDescent="0.25">
      <c r="A40" s="2" t="s">
        <v>46</v>
      </c>
      <c r="B40" s="2" t="s">
        <v>47</v>
      </c>
      <c r="C40" s="3">
        <v>1E-3</v>
      </c>
      <c r="D40" s="3">
        <v>0.1</v>
      </c>
      <c r="E40" s="2" t="s">
        <v>52</v>
      </c>
      <c r="F40" s="3">
        <v>1</v>
      </c>
      <c r="G40" s="2" t="s">
        <v>51</v>
      </c>
      <c r="H40" s="2" t="s">
        <v>53</v>
      </c>
      <c r="I40" s="2">
        <v>91</v>
      </c>
      <c r="J40" s="2">
        <v>0</v>
      </c>
      <c r="K40" s="2">
        <v>97</v>
      </c>
      <c r="L40" s="2">
        <v>156</v>
      </c>
      <c r="M40" s="2">
        <v>1.714</v>
      </c>
      <c r="N40" s="2">
        <v>2</v>
      </c>
      <c r="O40" s="2">
        <v>1</v>
      </c>
      <c r="P40" s="2">
        <v>2851</v>
      </c>
      <c r="Q40" s="2">
        <v>1030</v>
      </c>
      <c r="R40" s="4">
        <v>2.0649030208587651</v>
      </c>
      <c r="S40" s="4">
        <v>0.84195705254872644</v>
      </c>
      <c r="T40" s="4"/>
      <c r="U40" s="4"/>
      <c r="V40" s="4"/>
      <c r="W40" s="4">
        <v>8.7639771401882102E-2</v>
      </c>
      <c r="X40" s="5">
        <v>37.654020388999918</v>
      </c>
      <c r="Y40" s="5">
        <v>237.78739730500089</v>
      </c>
      <c r="Z40" s="2">
        <v>0</v>
      </c>
      <c r="AA40" s="3">
        <v>0.15466976165771479</v>
      </c>
      <c r="AB40" s="3">
        <v>-3.0122652106001619E-7</v>
      </c>
      <c r="AC40" s="3">
        <v>-3.936406756110955E-8</v>
      </c>
      <c r="AD40" s="3">
        <v>0</v>
      </c>
      <c r="AE40" s="3">
        <v>0.46907160721193991</v>
      </c>
      <c r="AF40" s="3">
        <v>0.97289705889499123</v>
      </c>
      <c r="AG40" s="3">
        <v>0.75076662338360389</v>
      </c>
      <c r="AH40" s="3">
        <v>0.90971016210665046</v>
      </c>
      <c r="AI40" s="3">
        <v>0.23189331523565879</v>
      </c>
      <c r="AJ40" s="3">
        <v>0.93419536391579783</v>
      </c>
      <c r="AK40" s="3">
        <v>0.78724936036627813</v>
      </c>
      <c r="AL40" s="3">
        <v>0.64850993067197771</v>
      </c>
      <c r="AM40" s="3">
        <v>0.37680610599886888</v>
      </c>
      <c r="AN40" s="3">
        <v>0.91493931056854083</v>
      </c>
      <c r="AO40" s="3">
        <v>0.62268309733887262</v>
      </c>
      <c r="AP40" s="3">
        <v>0.72447275683225865</v>
      </c>
      <c r="AQ40" s="3">
        <v>0.88004110762846166</v>
      </c>
      <c r="AR40" s="3">
        <v>0.66918154830301069</v>
      </c>
      <c r="AS40" s="3">
        <v>-0.81042755586328186</v>
      </c>
      <c r="AT40" s="3">
        <v>0.8760984266779166</v>
      </c>
      <c r="AU40" s="16">
        <f t="shared" si="0"/>
        <v>0.40372338168652677</v>
      </c>
      <c r="AV40" s="16">
        <f t="shared" si="1"/>
        <v>0.69526622437711982</v>
      </c>
    </row>
    <row r="41" spans="1:48" x14ac:dyDescent="0.25">
      <c r="A41" s="2" t="s">
        <v>46</v>
      </c>
      <c r="B41" s="2" t="s">
        <v>47</v>
      </c>
      <c r="C41" s="3">
        <v>1E-3</v>
      </c>
      <c r="D41" s="3">
        <v>0.1</v>
      </c>
      <c r="E41" s="2" t="s">
        <v>52</v>
      </c>
      <c r="F41" s="3">
        <v>1</v>
      </c>
      <c r="G41" s="2" t="s">
        <v>51</v>
      </c>
      <c r="H41" s="2" t="s">
        <v>53</v>
      </c>
      <c r="I41" s="2">
        <v>91</v>
      </c>
      <c r="J41" s="2">
        <v>0</v>
      </c>
      <c r="K41" s="2">
        <v>97</v>
      </c>
      <c r="L41" s="2">
        <v>156</v>
      </c>
      <c r="M41" s="2">
        <v>1.714</v>
      </c>
      <c r="N41" s="2">
        <v>3</v>
      </c>
      <c r="O41" s="2">
        <v>1</v>
      </c>
      <c r="P41" s="2">
        <v>1976</v>
      </c>
      <c r="Q41" s="2">
        <v>1975</v>
      </c>
      <c r="R41" s="4">
        <v>2.535775899887085</v>
      </c>
      <c r="S41" s="4">
        <v>2.5605828762054439</v>
      </c>
      <c r="T41" s="4"/>
      <c r="U41" s="4"/>
      <c r="V41" s="4"/>
      <c r="W41" s="4">
        <v>8.2945264875888797E-2</v>
      </c>
      <c r="X41" s="5">
        <v>32.171397837000768</v>
      </c>
      <c r="Y41" s="5">
        <v>210.77320075300119</v>
      </c>
      <c r="Z41" s="2">
        <v>0</v>
      </c>
      <c r="AA41" s="3">
        <v>9.2156887054443304E-2</v>
      </c>
      <c r="AB41" s="3">
        <v>-5.0127409818509486E-18</v>
      </c>
      <c r="AC41" s="3">
        <v>0</v>
      </c>
      <c r="AD41" s="3">
        <v>0</v>
      </c>
      <c r="AE41" s="3">
        <v>0.91985279654607721</v>
      </c>
      <c r="AF41" s="3">
        <v>0.61674321640853358</v>
      </c>
      <c r="AG41" s="3">
        <v>-3.8417703744864501E-2</v>
      </c>
      <c r="AH41" s="3">
        <v>0.93900896565275516</v>
      </c>
      <c r="AI41" s="3">
        <v>0.75507246024409047</v>
      </c>
      <c r="AJ41" s="3">
        <v>0.96632460523552477</v>
      </c>
      <c r="AK41" s="3">
        <v>-0.23424306140714021</v>
      </c>
      <c r="AL41" s="3">
        <v>1.42686780576184E-2</v>
      </c>
      <c r="AM41" s="3">
        <v>0.55436419751542787</v>
      </c>
      <c r="AN41" s="3">
        <v>0.6589928684951174</v>
      </c>
      <c r="AO41" s="3">
        <v>-0.33856016321029969</v>
      </c>
      <c r="AP41" s="3">
        <v>0.86799024269245473</v>
      </c>
      <c r="AQ41" s="3">
        <v>0.58032053329487576</v>
      </c>
      <c r="AR41" s="3">
        <v>-2.84463898248568E-2</v>
      </c>
      <c r="AS41" s="3">
        <v>-0.49491383050823318</v>
      </c>
      <c r="AT41" s="3">
        <v>0.92484494881609758</v>
      </c>
      <c r="AU41" s="16">
        <f t="shared" si="0"/>
        <v>0.24545131544447085</v>
      </c>
      <c r="AV41" s="16">
        <f t="shared" si="1"/>
        <v>0.47344975854044119</v>
      </c>
    </row>
    <row r="42" spans="1:48" x14ac:dyDescent="0.25">
      <c r="A42" s="2" t="s">
        <v>46</v>
      </c>
      <c r="B42" s="2" t="s">
        <v>47</v>
      </c>
      <c r="C42" s="3">
        <v>1E-3</v>
      </c>
      <c r="D42" s="3">
        <v>0.1</v>
      </c>
      <c r="E42" s="2" t="s">
        <v>54</v>
      </c>
      <c r="F42" s="3">
        <v>1</v>
      </c>
      <c r="G42" s="2" t="s">
        <v>49</v>
      </c>
      <c r="H42" s="2" t="s">
        <v>55</v>
      </c>
      <c r="I42" s="2">
        <v>195</v>
      </c>
      <c r="J42" s="2">
        <v>0</v>
      </c>
      <c r="K42" s="2">
        <v>201</v>
      </c>
      <c r="L42" s="2">
        <v>156</v>
      </c>
      <c r="M42" s="2">
        <v>0.8</v>
      </c>
      <c r="N42" s="2">
        <v>2</v>
      </c>
      <c r="O42" s="2">
        <v>0</v>
      </c>
      <c r="P42" s="2">
        <v>10000</v>
      </c>
      <c r="Q42" s="2">
        <v>7227</v>
      </c>
      <c r="R42" s="4">
        <v>2.350825309753418</v>
      </c>
      <c r="S42" s="4">
        <v>1.1418242653210959</v>
      </c>
      <c r="T42" s="4"/>
      <c r="U42" s="4">
        <v>5.4463828404744463</v>
      </c>
      <c r="V42" s="4">
        <v>4.8945455551147461</v>
      </c>
      <c r="W42" s="4">
        <v>8.1782348453998496E-2</v>
      </c>
      <c r="X42" s="5">
        <v>94.173762094999802</v>
      </c>
      <c r="Y42" s="5">
        <v>685.3582256769987</v>
      </c>
      <c r="Z42" s="2">
        <v>0</v>
      </c>
      <c r="AA42" s="3">
        <v>0.2263327687978744</v>
      </c>
      <c r="AB42" s="3">
        <v>-1.248467924597208E-7</v>
      </c>
      <c r="AC42" s="3">
        <v>0</v>
      </c>
      <c r="AD42" s="3">
        <v>0</v>
      </c>
      <c r="AE42" s="3">
        <v>-0.60546033536249477</v>
      </c>
      <c r="AF42" s="3">
        <v>0.95214570036842261</v>
      </c>
      <c r="AG42" s="3">
        <v>0.72657321820383192</v>
      </c>
      <c r="AH42" s="3">
        <v>0.85328371243010237</v>
      </c>
      <c r="AI42" s="3">
        <v>-0.22999777524878959</v>
      </c>
      <c r="AJ42" s="3">
        <v>0.96273608127695198</v>
      </c>
      <c r="AK42" s="3">
        <v>0.80298314629809087</v>
      </c>
      <c r="AL42" s="3">
        <v>0.91127463387043295</v>
      </c>
      <c r="AM42" s="3">
        <v>-1.267802377424087</v>
      </c>
      <c r="AN42" s="3">
        <v>0.97254160202336104</v>
      </c>
      <c r="AO42" s="3">
        <v>0.60942481713560692</v>
      </c>
      <c r="AP42" s="3">
        <v>0.4977397220612732</v>
      </c>
      <c r="AQ42" s="3">
        <v>-0.64709597007326014</v>
      </c>
      <c r="AR42" s="3">
        <v>0.68878984204334581</v>
      </c>
      <c r="AS42" s="3">
        <v>-0.59875956901563376</v>
      </c>
      <c r="AT42" s="3">
        <v>0.83415120311790081</v>
      </c>
      <c r="AU42" s="16">
        <f t="shared" si="0"/>
        <v>6.9271376518088179E-2</v>
      </c>
      <c r="AV42" s="16">
        <f t="shared" si="1"/>
        <v>0.43212017880272519</v>
      </c>
    </row>
    <row r="43" spans="1:48" x14ac:dyDescent="0.25">
      <c r="A43" s="2" t="s">
        <v>46</v>
      </c>
      <c r="B43" s="2" t="s">
        <v>47</v>
      </c>
      <c r="C43" s="3">
        <v>1E-3</v>
      </c>
      <c r="D43" s="3">
        <v>0.1</v>
      </c>
      <c r="E43" s="2" t="s">
        <v>54</v>
      </c>
      <c r="F43" s="3">
        <v>1</v>
      </c>
      <c r="G43" s="2" t="s">
        <v>49</v>
      </c>
      <c r="H43" s="2" t="s">
        <v>55</v>
      </c>
      <c r="I43" s="2">
        <v>195</v>
      </c>
      <c r="J43" s="2">
        <v>0</v>
      </c>
      <c r="K43" s="2">
        <v>201</v>
      </c>
      <c r="L43" s="2">
        <v>156</v>
      </c>
      <c r="M43" s="2">
        <v>0.8</v>
      </c>
      <c r="N43" s="2">
        <v>3</v>
      </c>
      <c r="O43" s="2">
        <v>1</v>
      </c>
      <c r="P43" s="2">
        <v>2851</v>
      </c>
      <c r="Q43" s="2">
        <v>1194</v>
      </c>
      <c r="R43" s="4">
        <v>2.202305793762207</v>
      </c>
      <c r="S43" s="4">
        <v>3.610945145289103</v>
      </c>
      <c r="T43" s="4"/>
      <c r="U43" s="4">
        <v>1.0831111868222549</v>
      </c>
      <c r="V43" s="4"/>
      <c r="W43" s="4">
        <v>0.1034065634012222</v>
      </c>
      <c r="X43" s="5">
        <v>41.083432358999737</v>
      </c>
      <c r="Y43" s="5">
        <v>272.08926163499927</v>
      </c>
      <c r="Z43" s="2">
        <v>0</v>
      </c>
      <c r="AA43" s="3">
        <v>0.18752437829971311</v>
      </c>
      <c r="AB43" s="3">
        <v>4.7983266413211802E-2</v>
      </c>
      <c r="AC43" s="3">
        <v>0</v>
      </c>
      <c r="AD43" s="3">
        <v>0</v>
      </c>
      <c r="AE43" s="3">
        <v>-2.8863163808728132</v>
      </c>
      <c r="AF43" s="3">
        <v>0.73568766710100819</v>
      </c>
      <c r="AG43" s="3">
        <v>0.1742549107745528</v>
      </c>
      <c r="AH43" s="3">
        <v>-0.12956498189788759</v>
      </c>
      <c r="AI43" s="3">
        <v>-2.754113850761021</v>
      </c>
      <c r="AJ43" s="3">
        <v>0.79335962730203835</v>
      </c>
      <c r="AK43" s="3">
        <v>0.30802243922454209</v>
      </c>
      <c r="AL43" s="3">
        <v>-0.121207381577022</v>
      </c>
      <c r="AM43" s="3">
        <v>-3.0922150088489291</v>
      </c>
      <c r="AN43" s="3">
        <v>0.42540104167720078</v>
      </c>
      <c r="AO43" s="3">
        <v>2.27266457696618E-2</v>
      </c>
      <c r="AP43" s="3">
        <v>-0.32446363258113409</v>
      </c>
      <c r="AQ43" s="3">
        <v>-2.8446674762667219</v>
      </c>
      <c r="AR43" s="3">
        <v>0.91715910034452441</v>
      </c>
      <c r="AS43" s="3">
        <v>0.37302016606457222</v>
      </c>
      <c r="AT43" s="3">
        <v>0.32419350978775191</v>
      </c>
      <c r="AU43" s="16">
        <f t="shared" si="0"/>
        <v>-0.3075736750174683</v>
      </c>
      <c r="AV43" s="16">
        <f t="shared" si="1"/>
        <v>-0.57070240872415001</v>
      </c>
    </row>
    <row r="44" spans="1:48" x14ac:dyDescent="0.25">
      <c r="A44" s="2" t="s">
        <v>46</v>
      </c>
      <c r="B44" s="2" t="s">
        <v>47</v>
      </c>
      <c r="C44" s="3">
        <v>1E-3</v>
      </c>
      <c r="D44" s="3">
        <v>0.1</v>
      </c>
      <c r="E44" s="2" t="s">
        <v>54</v>
      </c>
      <c r="F44" s="3">
        <v>1</v>
      </c>
      <c r="G44" s="2" t="s">
        <v>51</v>
      </c>
      <c r="H44" s="2" t="s">
        <v>55</v>
      </c>
      <c r="I44" s="2">
        <v>195</v>
      </c>
      <c r="J44" s="2">
        <v>0</v>
      </c>
      <c r="K44" s="2">
        <v>201</v>
      </c>
      <c r="L44" s="2">
        <v>156</v>
      </c>
      <c r="M44" s="2">
        <v>0.8</v>
      </c>
      <c r="N44" s="2">
        <v>2</v>
      </c>
      <c r="O44" s="2">
        <v>1</v>
      </c>
      <c r="P44" s="2">
        <v>6967</v>
      </c>
      <c r="Q44" s="2">
        <v>1165</v>
      </c>
      <c r="R44" s="4">
        <v>1.916615962982178</v>
      </c>
      <c r="S44" s="4">
        <v>0.74851119518280029</v>
      </c>
      <c r="T44" s="4"/>
      <c r="U44" s="4"/>
      <c r="V44" s="4"/>
      <c r="W44" s="4">
        <v>9.0672254562377902E-2</v>
      </c>
      <c r="X44" s="5">
        <v>74.822550655999294</v>
      </c>
      <c r="Y44" s="5">
        <v>580.45265812400066</v>
      </c>
      <c r="Z44" s="2">
        <v>0</v>
      </c>
      <c r="AA44" s="3">
        <v>0.11650167405605311</v>
      </c>
      <c r="AB44" s="3">
        <v>-1.529233486508019E-7</v>
      </c>
      <c r="AC44" s="3">
        <v>0</v>
      </c>
      <c r="AD44" s="3">
        <v>0</v>
      </c>
      <c r="AE44" s="3">
        <v>0.3974184621036318</v>
      </c>
      <c r="AF44" s="3">
        <v>0.98143883428710721</v>
      </c>
      <c r="AG44" s="3">
        <v>0.75705882587999951</v>
      </c>
      <c r="AH44" s="3">
        <v>0.87390569590939726</v>
      </c>
      <c r="AI44" s="3">
        <v>0.46476873929782297</v>
      </c>
      <c r="AJ44" s="3">
        <v>0.93412929802049283</v>
      </c>
      <c r="AK44" s="3">
        <v>0.68911642737722301</v>
      </c>
      <c r="AL44" s="3">
        <v>0.87661254347194817</v>
      </c>
      <c r="AM44" s="3">
        <v>0.2717786648261053</v>
      </c>
      <c r="AN44" s="3">
        <v>0.96575810167232801</v>
      </c>
      <c r="AO44" s="3">
        <v>0.74141233801047923</v>
      </c>
      <c r="AP44" s="3">
        <v>0.98425557503489325</v>
      </c>
      <c r="AQ44" s="3">
        <v>0.70102028357626522</v>
      </c>
      <c r="AR44" s="3">
        <v>0.49338044364732969</v>
      </c>
      <c r="AS44" s="3">
        <v>-0.28915662511660217</v>
      </c>
      <c r="AT44" s="3">
        <v>0.70143614016805944</v>
      </c>
      <c r="AU44" s="16">
        <f t="shared" si="0"/>
        <v>0.40167006056876309</v>
      </c>
      <c r="AV44" s="16">
        <f t="shared" si="1"/>
        <v>0.74480445882428559</v>
      </c>
    </row>
    <row r="45" spans="1:48" x14ac:dyDescent="0.25">
      <c r="A45" s="2" t="s">
        <v>46</v>
      </c>
      <c r="B45" s="2" t="s">
        <v>47</v>
      </c>
      <c r="C45" s="3">
        <v>1E-3</v>
      </c>
      <c r="D45" s="3">
        <v>0.1</v>
      </c>
      <c r="E45" s="2" t="s">
        <v>54</v>
      </c>
      <c r="F45" s="3">
        <v>1</v>
      </c>
      <c r="G45" s="2" t="s">
        <v>51</v>
      </c>
      <c r="H45" s="2" t="s">
        <v>55</v>
      </c>
      <c r="I45" s="2">
        <v>195</v>
      </c>
      <c r="J45" s="2">
        <v>0</v>
      </c>
      <c r="K45" s="2">
        <v>201</v>
      </c>
      <c r="L45" s="2">
        <v>156</v>
      </c>
      <c r="M45" s="2">
        <v>0.8</v>
      </c>
      <c r="N45" s="2">
        <v>3</v>
      </c>
      <c r="O45" s="2">
        <v>1</v>
      </c>
      <c r="P45" s="2">
        <v>1053</v>
      </c>
      <c r="Q45" s="2">
        <v>1051</v>
      </c>
      <c r="R45" s="4">
        <v>2.0590262413024898</v>
      </c>
      <c r="S45" s="4">
        <v>0.58408949772516883</v>
      </c>
      <c r="T45" s="4"/>
      <c r="U45" s="4"/>
      <c r="V45" s="4"/>
      <c r="W45" s="4">
        <v>0.11637298762798309</v>
      </c>
      <c r="X45" s="5">
        <v>26.643967672000141</v>
      </c>
      <c r="Y45" s="5">
        <v>119.014869644001</v>
      </c>
      <c r="Z45" s="2">
        <v>0</v>
      </c>
      <c r="AA45" s="3">
        <v>0.18778102099895469</v>
      </c>
      <c r="AB45" s="3">
        <v>-3.1999394423110061E-7</v>
      </c>
      <c r="AC45" s="3">
        <v>-2.6781890483107421E-8</v>
      </c>
      <c r="AD45" s="3">
        <v>0</v>
      </c>
      <c r="AE45" s="3">
        <v>0.82404809566975923</v>
      </c>
      <c r="AF45" s="3">
        <v>0.94042853224556999</v>
      </c>
      <c r="AG45" s="3">
        <v>0.90776914697213285</v>
      </c>
      <c r="AH45" s="3">
        <v>0.87021183393453083</v>
      </c>
      <c r="AI45" s="3">
        <v>0.75770675294668577</v>
      </c>
      <c r="AJ45" s="3">
        <v>0.89207839618008844</v>
      </c>
      <c r="AK45" s="3">
        <v>0.81352857580491911</v>
      </c>
      <c r="AL45" s="3">
        <v>0.76319758956812767</v>
      </c>
      <c r="AM45" s="3">
        <v>0.63463882324068466</v>
      </c>
      <c r="AN45" s="3">
        <v>0.82805147604514873</v>
      </c>
      <c r="AO45" s="3">
        <v>0.74795250459940732</v>
      </c>
      <c r="AP45" s="3">
        <v>0.96477424918318455</v>
      </c>
      <c r="AQ45" s="3">
        <v>0.59668397265825723</v>
      </c>
      <c r="AR45" s="3">
        <v>0.76992098480316384</v>
      </c>
      <c r="AS45" s="3">
        <v>-0.78524164002704322</v>
      </c>
      <c r="AT45" s="3">
        <v>0.82296904284912209</v>
      </c>
      <c r="AU45" s="16">
        <f t="shared" si="0"/>
        <v>0.35108309007087496</v>
      </c>
      <c r="AV45" s="16">
        <f t="shared" si="1"/>
        <v>0.82869883136585321</v>
      </c>
    </row>
    <row r="46" spans="1:48" x14ac:dyDescent="0.25">
      <c r="A46" s="2" t="s">
        <v>46</v>
      </c>
      <c r="B46" s="2" t="s">
        <v>47</v>
      </c>
      <c r="C46" s="3">
        <v>1E-3</v>
      </c>
      <c r="D46" s="3">
        <v>0.1</v>
      </c>
      <c r="E46" s="2" t="s">
        <v>56</v>
      </c>
      <c r="F46" s="3">
        <v>1</v>
      </c>
      <c r="G46" s="2" t="s">
        <v>49</v>
      </c>
      <c r="H46" s="2" t="s">
        <v>57</v>
      </c>
      <c r="I46" s="2">
        <v>251</v>
      </c>
      <c r="J46" s="2">
        <v>0</v>
      </c>
      <c r="K46" s="2">
        <v>257</v>
      </c>
      <c r="L46" s="2">
        <v>156</v>
      </c>
      <c r="M46" s="2">
        <v>0.622</v>
      </c>
      <c r="N46" s="2">
        <v>2</v>
      </c>
      <c r="O46" s="2">
        <v>0</v>
      </c>
      <c r="P46" s="2">
        <v>10000</v>
      </c>
      <c r="Q46" s="2">
        <v>5959</v>
      </c>
      <c r="R46" s="4">
        <v>2.0059642791748051</v>
      </c>
      <c r="S46" s="4">
        <v>1.4608073234558101</v>
      </c>
      <c r="T46" s="4"/>
      <c r="U46" s="4">
        <v>3.9867021242777509</v>
      </c>
      <c r="V46" s="4">
        <v>5.2461538314819336</v>
      </c>
      <c r="W46" s="4">
        <v>7.7128708362579304E-2</v>
      </c>
      <c r="X46" s="5">
        <v>101.75572449699941</v>
      </c>
      <c r="Y46" s="5">
        <v>991.69915523700183</v>
      </c>
      <c r="Z46" s="2">
        <v>0</v>
      </c>
      <c r="AA46" s="3">
        <v>0.12947316467761991</v>
      </c>
      <c r="AB46" s="3">
        <v>-3.8668133583996678E-7</v>
      </c>
      <c r="AC46" s="3">
        <v>-6.7523160396376625E-8</v>
      </c>
      <c r="AD46" s="3">
        <v>0</v>
      </c>
      <c r="AE46" s="3">
        <v>0.1926646620190452</v>
      </c>
      <c r="AF46" s="3">
        <v>0.92665672180978542</v>
      </c>
      <c r="AG46" s="3">
        <v>0.4906928407107749</v>
      </c>
      <c r="AH46" s="3">
        <v>0.83884834975681211</v>
      </c>
      <c r="AI46" s="3">
        <v>0.4685919478609471</v>
      </c>
      <c r="AJ46" s="3">
        <v>0.86685292274355707</v>
      </c>
      <c r="AK46" s="3">
        <v>0.6243099422432683</v>
      </c>
      <c r="AL46" s="3">
        <v>0.9733502089143008</v>
      </c>
      <c r="AM46" s="3">
        <v>-0.4877880141194697</v>
      </c>
      <c r="AN46" s="3">
        <v>0.70440299283698671</v>
      </c>
      <c r="AO46" s="3">
        <v>0.28632990108959028</v>
      </c>
      <c r="AP46" s="3">
        <v>0.51130818530293354</v>
      </c>
      <c r="AQ46" s="3">
        <v>0.71722112766835855</v>
      </c>
      <c r="AR46" s="3">
        <v>0.7026389894188213</v>
      </c>
      <c r="AS46" s="3">
        <v>-0.72049565696992524</v>
      </c>
      <c r="AT46" s="3">
        <v>0.86717323238646571</v>
      </c>
      <c r="AU46" s="16">
        <f t="shared" si="0"/>
        <v>0.39163442312593011</v>
      </c>
      <c r="AV46" s="16">
        <f t="shared" si="1"/>
        <v>0.53301838843071092</v>
      </c>
    </row>
    <row r="47" spans="1:48" x14ac:dyDescent="0.25">
      <c r="A47" s="2" t="s">
        <v>46</v>
      </c>
      <c r="B47" s="2" t="s">
        <v>47</v>
      </c>
      <c r="C47" s="3">
        <v>1E-3</v>
      </c>
      <c r="D47" s="3">
        <v>0.1</v>
      </c>
      <c r="E47" s="2" t="s">
        <v>56</v>
      </c>
      <c r="F47" s="3">
        <v>1</v>
      </c>
      <c r="G47" s="2" t="s">
        <v>49</v>
      </c>
      <c r="H47" s="2" t="s">
        <v>57</v>
      </c>
      <c r="I47" s="2">
        <v>251</v>
      </c>
      <c r="J47" s="2">
        <v>0</v>
      </c>
      <c r="K47" s="2">
        <v>257</v>
      </c>
      <c r="L47" s="2">
        <v>156</v>
      </c>
      <c r="M47" s="2">
        <v>0.622</v>
      </c>
      <c r="N47" s="2">
        <v>3</v>
      </c>
      <c r="O47" s="2">
        <v>1</v>
      </c>
      <c r="P47" s="2">
        <v>206</v>
      </c>
      <c r="Q47" s="2">
        <v>98</v>
      </c>
      <c r="R47" s="4">
        <v>3.0025372505187988</v>
      </c>
      <c r="S47" s="4">
        <v>2.5444243748982749</v>
      </c>
      <c r="T47" s="4"/>
      <c r="U47" s="4">
        <v>4.3885938326517744</v>
      </c>
      <c r="V47" s="4"/>
      <c r="W47" s="4">
        <v>8.3565212786197607E-2</v>
      </c>
      <c r="X47" s="5">
        <v>22.006433927999751</v>
      </c>
      <c r="Y47" s="5">
        <v>37.400059183997662</v>
      </c>
      <c r="Z47" s="2">
        <v>0</v>
      </c>
      <c r="AA47" s="3">
        <v>0.2449814230203628</v>
      </c>
      <c r="AB47" s="3">
        <v>-9.3969276804273229E-10</v>
      </c>
      <c r="AC47" s="3">
        <v>0</v>
      </c>
      <c r="AD47" s="3">
        <v>0</v>
      </c>
      <c r="AE47" s="3">
        <v>-0.73839847792215085</v>
      </c>
      <c r="AF47" s="3">
        <v>0.72103552205248256</v>
      </c>
      <c r="AG47" s="3">
        <v>0.25000180704300118</v>
      </c>
      <c r="AH47" s="3">
        <v>0.81338691626151949</v>
      </c>
      <c r="AI47" s="3">
        <v>-1.0957903530543349</v>
      </c>
      <c r="AJ47" s="3">
        <v>0.8884113800133544</v>
      </c>
      <c r="AK47" s="3">
        <v>0.13943379564557909</v>
      </c>
      <c r="AL47" s="3">
        <v>0.66897127744145712</v>
      </c>
      <c r="AM47" s="3">
        <v>-0.82668470620764478</v>
      </c>
      <c r="AN47" s="3">
        <v>0.53659559429965564</v>
      </c>
      <c r="AO47" s="3">
        <v>-0.17572394778058029</v>
      </c>
      <c r="AP47" s="3">
        <v>0.69114719628413113</v>
      </c>
      <c r="AQ47" s="3">
        <v>-0.41484246326391072</v>
      </c>
      <c r="AR47" s="3">
        <v>4.2182198122634199E-2</v>
      </c>
      <c r="AS47" s="3">
        <v>-0.68183425244228579</v>
      </c>
      <c r="AT47" s="3">
        <v>0.81474614311210103</v>
      </c>
      <c r="AU47" s="16">
        <f t="shared" si="0"/>
        <v>-5.9937093617865311E-2</v>
      </c>
      <c r="AV47" s="16">
        <f t="shared" si="1"/>
        <v>0.15603216700637249</v>
      </c>
    </row>
    <row r="48" spans="1:48" x14ac:dyDescent="0.25">
      <c r="A48" s="2" t="s">
        <v>46</v>
      </c>
      <c r="B48" s="2" t="s">
        <v>47</v>
      </c>
      <c r="C48" s="3">
        <v>1E-3</v>
      </c>
      <c r="D48" s="3">
        <v>0.1</v>
      </c>
      <c r="E48" s="2" t="s">
        <v>56</v>
      </c>
      <c r="F48" s="3">
        <v>1</v>
      </c>
      <c r="G48" s="2" t="s">
        <v>51</v>
      </c>
      <c r="H48" s="2" t="s">
        <v>57</v>
      </c>
      <c r="I48" s="2">
        <v>251</v>
      </c>
      <c r="J48" s="2">
        <v>0</v>
      </c>
      <c r="K48" s="2">
        <v>257</v>
      </c>
      <c r="L48" s="2">
        <v>156</v>
      </c>
      <c r="M48" s="2">
        <v>0.622</v>
      </c>
      <c r="N48" s="2">
        <v>2</v>
      </c>
      <c r="O48" s="2">
        <v>1</v>
      </c>
      <c r="P48" s="2">
        <v>996</v>
      </c>
      <c r="Q48" s="2">
        <v>965</v>
      </c>
      <c r="R48" s="4">
        <v>2.503284215927124</v>
      </c>
      <c r="S48" s="4">
        <v>0.92122107744216919</v>
      </c>
      <c r="T48" s="4"/>
      <c r="U48" s="4"/>
      <c r="V48" s="4"/>
      <c r="W48" s="4">
        <v>0.1102624684572219</v>
      </c>
      <c r="X48" s="5">
        <v>28.214015513000049</v>
      </c>
      <c r="Y48" s="5">
        <v>100.9886131970015</v>
      </c>
      <c r="Z48" s="2">
        <v>0</v>
      </c>
      <c r="AA48" s="3">
        <v>0.18254916369915</v>
      </c>
      <c r="AB48" s="3">
        <v>-3.6613155884879228E-7</v>
      </c>
      <c r="AC48" s="3">
        <v>0</v>
      </c>
      <c r="AD48" s="3">
        <v>0</v>
      </c>
      <c r="AE48" s="3">
        <v>0.1586154220076828</v>
      </c>
      <c r="AF48" s="3">
        <v>0.97739398961826918</v>
      </c>
      <c r="AG48" s="3">
        <v>0.78573329630609234</v>
      </c>
      <c r="AH48" s="3">
        <v>0.94520225332340058</v>
      </c>
      <c r="AI48" s="3">
        <v>-0.1012715927039711</v>
      </c>
      <c r="AJ48" s="3">
        <v>0.95197472785186299</v>
      </c>
      <c r="AK48" s="3">
        <v>0.83887629313186918</v>
      </c>
      <c r="AL48" s="3">
        <v>0.64865851207517311</v>
      </c>
      <c r="AM48" s="3">
        <v>-0.30183910732118008</v>
      </c>
      <c r="AN48" s="3">
        <v>0.98093939667160757</v>
      </c>
      <c r="AO48" s="3">
        <v>0.5193144613196008</v>
      </c>
      <c r="AP48" s="3">
        <v>0.67294821725592491</v>
      </c>
      <c r="AQ48" s="3">
        <v>6.6694973240946601E-2</v>
      </c>
      <c r="AR48" s="3">
        <v>0.54480873958760467</v>
      </c>
      <c r="AS48" s="3">
        <v>-0.83052224239759176</v>
      </c>
      <c r="AT48" s="3">
        <v>0.79189046979461364</v>
      </c>
      <c r="AU48" s="16">
        <f t="shared" si="0"/>
        <v>0.1432179850563933</v>
      </c>
      <c r="AV48" s="16">
        <f t="shared" si="1"/>
        <v>0.58971215579469449</v>
      </c>
    </row>
    <row r="49" spans="1:48" s="14" customFormat="1" x14ac:dyDescent="0.25">
      <c r="A49" s="10" t="s">
        <v>46</v>
      </c>
      <c r="B49" s="10" t="s">
        <v>47</v>
      </c>
      <c r="C49" s="11">
        <v>1E-3</v>
      </c>
      <c r="D49" s="11">
        <v>0.1</v>
      </c>
      <c r="E49" s="10" t="s">
        <v>56</v>
      </c>
      <c r="F49" s="11">
        <v>1</v>
      </c>
      <c r="G49" s="10" t="s">
        <v>51</v>
      </c>
      <c r="H49" s="10" t="s">
        <v>57</v>
      </c>
      <c r="I49" s="10">
        <v>251</v>
      </c>
      <c r="J49" s="10">
        <v>0</v>
      </c>
      <c r="K49" s="10">
        <v>257</v>
      </c>
      <c r="L49" s="10">
        <v>156</v>
      </c>
      <c r="M49" s="10">
        <v>0.622</v>
      </c>
      <c r="N49" s="10">
        <v>3</v>
      </c>
      <c r="O49" s="10">
        <v>1</v>
      </c>
      <c r="P49" s="10">
        <v>2482</v>
      </c>
      <c r="Q49" s="10">
        <v>2385</v>
      </c>
      <c r="R49" s="12">
        <v>1.4062216281890869</v>
      </c>
      <c r="S49" s="12">
        <v>0.75869778792063391</v>
      </c>
      <c r="T49" s="12"/>
      <c r="U49" s="12"/>
      <c r="V49" s="12"/>
      <c r="W49" s="12">
        <v>0.1046464145183563</v>
      </c>
      <c r="X49" s="13">
        <v>40.592022965000069</v>
      </c>
      <c r="Y49" s="13">
        <v>245.43252221300281</v>
      </c>
      <c r="Z49" s="10">
        <v>0</v>
      </c>
      <c r="AA49" s="11">
        <v>0.37639182806015009</v>
      </c>
      <c r="AB49" s="11">
        <v>2.1700479140740599E-20</v>
      </c>
      <c r="AC49" s="11">
        <v>0</v>
      </c>
      <c r="AD49" s="11">
        <v>0</v>
      </c>
      <c r="AE49" s="11">
        <v>0.66561224954925491</v>
      </c>
      <c r="AF49" s="11">
        <v>0.97189591503726036</v>
      </c>
      <c r="AG49" s="11">
        <v>0.73736865290768827</v>
      </c>
      <c r="AH49" s="11">
        <v>0.88944894177955192</v>
      </c>
      <c r="AI49" s="11">
        <v>0.60583930681605891</v>
      </c>
      <c r="AJ49" s="11">
        <v>0.88945602113854372</v>
      </c>
      <c r="AK49" s="11">
        <v>0.77922400982980577</v>
      </c>
      <c r="AL49" s="11">
        <v>0.82690093115446317</v>
      </c>
      <c r="AM49" s="11">
        <v>0.57409433422491962</v>
      </c>
      <c r="AN49" s="11">
        <v>0.92869970059370677</v>
      </c>
      <c r="AO49" s="11">
        <v>0.5484298704684728</v>
      </c>
      <c r="AP49" s="11">
        <v>0.94019545503566759</v>
      </c>
      <c r="AQ49" s="11">
        <v>0.78004219206031378</v>
      </c>
      <c r="AR49" s="11">
        <v>0.91256110129125401</v>
      </c>
      <c r="AS49" s="11">
        <v>-0.38172002810573818</v>
      </c>
      <c r="AT49" s="11">
        <v>0.99271894121389082</v>
      </c>
      <c r="AU49" s="16">
        <f t="shared" si="0"/>
        <v>0.57590055161493003</v>
      </c>
      <c r="AV49" s="16">
        <f t="shared" si="1"/>
        <v>0.77976378237794941</v>
      </c>
    </row>
    <row r="50" spans="1:48" x14ac:dyDescent="0.25">
      <c r="A50" s="2" t="s">
        <v>46</v>
      </c>
      <c r="B50" s="2" t="s">
        <v>47</v>
      </c>
      <c r="C50" s="3">
        <v>1E-3</v>
      </c>
      <c r="D50" s="3">
        <v>0.3</v>
      </c>
      <c r="E50" s="2" t="s">
        <v>48</v>
      </c>
      <c r="F50" s="3">
        <v>1</v>
      </c>
      <c r="G50" s="2" t="s">
        <v>49</v>
      </c>
      <c r="H50" s="2" t="s">
        <v>50</v>
      </c>
      <c r="I50" s="2">
        <v>61</v>
      </c>
      <c r="J50" s="2">
        <v>0</v>
      </c>
      <c r="K50" s="2">
        <v>67</v>
      </c>
      <c r="L50" s="2">
        <v>156</v>
      </c>
      <c r="M50" s="2">
        <v>2.5569999999999999</v>
      </c>
      <c r="N50" s="2">
        <v>2</v>
      </c>
      <c r="O50" s="2">
        <v>1</v>
      </c>
      <c r="P50" s="2">
        <v>26</v>
      </c>
      <c r="Q50" s="2">
        <v>6</v>
      </c>
      <c r="R50" s="4">
        <v>4.1489648818969727</v>
      </c>
      <c r="S50" s="4">
        <v>6.7469347318013506</v>
      </c>
      <c r="T50" s="4"/>
      <c r="U50" s="4">
        <v>4.6908861796061201</v>
      </c>
      <c r="V50" s="4"/>
      <c r="W50" s="4">
        <v>1.2124313972890301E-2</v>
      </c>
      <c r="X50" s="5">
        <v>14.9414441809995</v>
      </c>
      <c r="Y50" s="5">
        <v>12.88947166800062</v>
      </c>
      <c r="Z50" s="2">
        <v>0</v>
      </c>
      <c r="AA50" s="3">
        <v>0.11039300262927999</v>
      </c>
      <c r="AB50" s="3">
        <v>2.6781282424926758</v>
      </c>
      <c r="AC50" s="3">
        <v>0</v>
      </c>
      <c r="AD50" s="3">
        <v>0</v>
      </c>
      <c r="AE50" s="3">
        <v>-2.8484210905436518</v>
      </c>
      <c r="AF50" s="3">
        <v>0.60041686244739878</v>
      </c>
      <c r="AG50" s="3">
        <v>-0.57053386072271994</v>
      </c>
      <c r="AH50" s="3">
        <v>-1.016605276195377</v>
      </c>
      <c r="AI50" s="3">
        <v>-3.275473625757841</v>
      </c>
      <c r="AJ50" s="3">
        <v>-1.3846390547111731</v>
      </c>
      <c r="AK50" s="3">
        <v>-0.44589717441802312</v>
      </c>
      <c r="AL50" s="3">
        <v>-1.4807652129481439</v>
      </c>
      <c r="AM50" s="3">
        <v>-3.0319715257716191</v>
      </c>
      <c r="AN50" s="3">
        <v>0.55613874221286075</v>
      </c>
      <c r="AO50" s="3">
        <v>-0.79293209016173405</v>
      </c>
      <c r="AP50" s="3">
        <v>-1.0600746175293001</v>
      </c>
      <c r="AQ50" s="3">
        <v>-2.7849371016696312</v>
      </c>
      <c r="AR50" s="3">
        <v>0.81382497876826876</v>
      </c>
      <c r="AS50" s="3">
        <v>-1.0440559372198861</v>
      </c>
      <c r="AT50" s="3">
        <v>-0.76829144897948831</v>
      </c>
      <c r="AU50" s="16">
        <f t="shared" si="0"/>
        <v>-0.9458648772751842</v>
      </c>
      <c r="AV50" s="16">
        <f t="shared" si="1"/>
        <v>-1.2292298270082771</v>
      </c>
    </row>
    <row r="51" spans="1:48" x14ac:dyDescent="0.25">
      <c r="A51" s="2" t="s">
        <v>46</v>
      </c>
      <c r="B51" s="2" t="s">
        <v>47</v>
      </c>
      <c r="C51" s="3">
        <v>1E-3</v>
      </c>
      <c r="D51" s="3">
        <v>0.3</v>
      </c>
      <c r="E51" s="2" t="s">
        <v>48</v>
      </c>
      <c r="F51" s="3">
        <v>1</v>
      </c>
      <c r="G51" s="2" t="s">
        <v>49</v>
      </c>
      <c r="H51" s="2" t="s">
        <v>50</v>
      </c>
      <c r="I51" s="2">
        <v>61</v>
      </c>
      <c r="J51" s="2">
        <v>0</v>
      </c>
      <c r="K51" s="2">
        <v>67</v>
      </c>
      <c r="L51" s="2">
        <v>156</v>
      </c>
      <c r="M51" s="2">
        <v>2.5569999999999999</v>
      </c>
      <c r="N51" s="2">
        <v>3</v>
      </c>
      <c r="O51" s="2">
        <v>1</v>
      </c>
      <c r="P51" s="2">
        <v>3092</v>
      </c>
      <c r="Q51" s="2">
        <v>2431</v>
      </c>
      <c r="R51" s="4">
        <v>2.027713298797607</v>
      </c>
      <c r="S51" s="4">
        <v>3.0833192269007359</v>
      </c>
      <c r="T51" s="4"/>
      <c r="U51" s="4"/>
      <c r="V51" s="4"/>
      <c r="W51" s="4">
        <v>0.1381411403417587</v>
      </c>
      <c r="X51" s="5">
        <v>37.794532459999573</v>
      </c>
      <c r="Y51" s="5">
        <v>228.61933678700009</v>
      </c>
      <c r="Z51" s="2">
        <v>0</v>
      </c>
      <c r="AA51" s="3">
        <v>0.40000000596046448</v>
      </c>
      <c r="AB51" s="3">
        <v>-3.2488424039911479E-7</v>
      </c>
      <c r="AC51" s="3">
        <v>0</v>
      </c>
      <c r="AD51" s="3">
        <v>0</v>
      </c>
      <c r="AE51" s="3">
        <v>-0.18379475360222841</v>
      </c>
      <c r="AF51" s="3">
        <v>0.43160930427406669</v>
      </c>
      <c r="AG51" s="3">
        <v>0.51875045558210719</v>
      </c>
      <c r="AH51" s="3">
        <v>0.94656865066882379</v>
      </c>
      <c r="AI51" s="3">
        <v>-7.5815099705357936</v>
      </c>
      <c r="AJ51" s="3">
        <v>0.93722967642906263</v>
      </c>
      <c r="AK51" s="3">
        <v>0.2050390068183362</v>
      </c>
      <c r="AL51" s="3">
        <v>-1.705409227945335</v>
      </c>
      <c r="AM51" s="3">
        <v>0.60312566819663971</v>
      </c>
      <c r="AN51" s="3">
        <v>0.49647568330294078</v>
      </c>
      <c r="AO51" s="3">
        <v>0.23514247425796389</v>
      </c>
      <c r="AP51" s="3">
        <v>0.79117349823596173</v>
      </c>
      <c r="AQ51" s="3">
        <v>2.1503114440280802E-2</v>
      </c>
      <c r="AR51" s="3">
        <v>0.67664284920482665</v>
      </c>
      <c r="AS51" s="3">
        <v>-0.16300055952564271</v>
      </c>
      <c r="AT51" s="3">
        <v>0.33627324073011933</v>
      </c>
      <c r="AU51" s="16">
        <f t="shared" si="0"/>
        <v>0.21785466121239602</v>
      </c>
      <c r="AV51" s="16">
        <f t="shared" si="1"/>
        <v>-0.35879996119312119</v>
      </c>
    </row>
    <row r="52" spans="1:48" x14ac:dyDescent="0.25">
      <c r="A52" s="2" t="s">
        <v>46</v>
      </c>
      <c r="B52" s="2" t="s">
        <v>47</v>
      </c>
      <c r="C52" s="3">
        <v>1E-3</v>
      </c>
      <c r="D52" s="3">
        <v>0.3</v>
      </c>
      <c r="E52" s="2" t="s">
        <v>48</v>
      </c>
      <c r="F52" s="3">
        <v>1</v>
      </c>
      <c r="G52" s="2" t="s">
        <v>51</v>
      </c>
      <c r="H52" s="2" t="s">
        <v>50</v>
      </c>
      <c r="I52" s="2">
        <v>61</v>
      </c>
      <c r="J52" s="2">
        <v>0</v>
      </c>
      <c r="K52" s="2">
        <v>67</v>
      </c>
      <c r="L52" s="2">
        <v>156</v>
      </c>
      <c r="M52" s="2">
        <v>2.5569999999999999</v>
      </c>
      <c r="N52" s="2">
        <v>2</v>
      </c>
      <c r="O52" s="2">
        <v>1</v>
      </c>
      <c r="P52" s="2">
        <v>3</v>
      </c>
      <c r="Q52" s="2">
        <v>2</v>
      </c>
      <c r="R52" s="4">
        <v>4.283198356628418</v>
      </c>
      <c r="S52" s="4">
        <v>7.225825309753418</v>
      </c>
      <c r="T52" s="4"/>
      <c r="U52" s="4"/>
      <c r="V52" s="4"/>
      <c r="W52" s="4">
        <v>3.0416436493396E-3</v>
      </c>
      <c r="X52" s="5">
        <v>19.405638258999719</v>
      </c>
      <c r="Y52" s="5">
        <v>20.369676456000889</v>
      </c>
      <c r="Z52" s="2">
        <v>0</v>
      </c>
      <c r="AA52" s="3">
        <v>9.9157258868217399E-2</v>
      </c>
      <c r="AB52" s="3">
        <v>0.49042272567749018</v>
      </c>
      <c r="AC52" s="3">
        <v>0</v>
      </c>
      <c r="AD52" s="3">
        <v>0</v>
      </c>
      <c r="AE52" s="3">
        <v>-2.731484716127496</v>
      </c>
      <c r="AF52" s="3">
        <v>0.66777677349725939</v>
      </c>
      <c r="AG52" s="3">
        <v>-1.37722365285688</v>
      </c>
      <c r="AH52" s="3">
        <v>-0.43157272914804001</v>
      </c>
      <c r="AI52" s="3">
        <v>-3.2620675232494718</v>
      </c>
      <c r="AJ52" s="3">
        <v>-1.582180579632684</v>
      </c>
      <c r="AK52" s="3">
        <v>-0.59049056874689687</v>
      </c>
      <c r="AL52" s="3">
        <v>-1.265628540793958</v>
      </c>
      <c r="AM52" s="3">
        <v>-2.9266463064100101</v>
      </c>
      <c r="AN52" s="3">
        <v>0.59826425776843661</v>
      </c>
      <c r="AO52" s="3">
        <v>-1.1058662100905829</v>
      </c>
      <c r="AP52" s="3">
        <v>-0.53538739312088368</v>
      </c>
      <c r="AQ52" s="3">
        <v>-2.6577962734913618</v>
      </c>
      <c r="AR52" s="3">
        <v>0.88131195993379863</v>
      </c>
      <c r="AS52" s="3">
        <v>-0.95979801136273923</v>
      </c>
      <c r="AT52" s="3">
        <v>-1.360697938792863</v>
      </c>
      <c r="AU52" s="16">
        <f t="shared" si="0"/>
        <v>-1.0242450659282913</v>
      </c>
      <c r="AV52" s="16">
        <f t="shared" si="1"/>
        <v>-1.211875599075934</v>
      </c>
    </row>
    <row r="53" spans="1:48" x14ac:dyDescent="0.25">
      <c r="A53" s="2" t="s">
        <v>46</v>
      </c>
      <c r="B53" s="2" t="s">
        <v>47</v>
      </c>
      <c r="C53" s="3">
        <v>1E-3</v>
      </c>
      <c r="D53" s="3">
        <v>0.3</v>
      </c>
      <c r="E53" s="2" t="s">
        <v>48</v>
      </c>
      <c r="F53" s="3">
        <v>1</v>
      </c>
      <c r="G53" s="2" t="s">
        <v>51</v>
      </c>
      <c r="H53" s="2" t="s">
        <v>50</v>
      </c>
      <c r="I53" s="2">
        <v>61</v>
      </c>
      <c r="J53" s="2">
        <v>0</v>
      </c>
      <c r="K53" s="2">
        <v>67</v>
      </c>
      <c r="L53" s="2">
        <v>156</v>
      </c>
      <c r="M53" s="2">
        <v>2.5569999999999999</v>
      </c>
      <c r="N53" s="2">
        <v>3</v>
      </c>
      <c r="O53" s="2">
        <v>1</v>
      </c>
      <c r="P53" s="2">
        <v>1</v>
      </c>
      <c r="Q53" s="2"/>
      <c r="R53" s="4"/>
      <c r="S53" s="4"/>
      <c r="T53" s="4"/>
      <c r="U53" s="4"/>
      <c r="V53" s="4"/>
      <c r="W53" s="4"/>
      <c r="X53" s="5">
        <v>14.67913072800002</v>
      </c>
      <c r="Y53" s="5">
        <v>12.742120177001199</v>
      </c>
      <c r="Z53" s="2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16" t="e">
        <f t="shared" si="0"/>
        <v>#DIV/0!</v>
      </c>
      <c r="AV53" s="16" t="e">
        <f t="shared" si="1"/>
        <v>#DIV/0!</v>
      </c>
    </row>
    <row r="54" spans="1:48" x14ac:dyDescent="0.25">
      <c r="A54" s="2" t="s">
        <v>46</v>
      </c>
      <c r="B54" s="2" t="s">
        <v>47</v>
      </c>
      <c r="C54" s="3">
        <v>1E-3</v>
      </c>
      <c r="D54" s="3">
        <v>0.3</v>
      </c>
      <c r="E54" s="2" t="s">
        <v>52</v>
      </c>
      <c r="F54" s="3">
        <v>1</v>
      </c>
      <c r="G54" s="2" t="s">
        <v>49</v>
      </c>
      <c r="H54" s="2" t="s">
        <v>53</v>
      </c>
      <c r="I54" s="2">
        <v>91</v>
      </c>
      <c r="J54" s="2">
        <v>0</v>
      </c>
      <c r="K54" s="2">
        <v>97</v>
      </c>
      <c r="L54" s="2">
        <v>156</v>
      </c>
      <c r="M54" s="2">
        <v>1.714</v>
      </c>
      <c r="N54" s="2">
        <v>2</v>
      </c>
      <c r="O54" s="2">
        <v>0</v>
      </c>
      <c r="P54" s="2">
        <v>10000</v>
      </c>
      <c r="Q54" s="2">
        <v>1944</v>
      </c>
      <c r="R54" s="4">
        <v>2.677790641784668</v>
      </c>
      <c r="S54" s="4">
        <v>2.471114794413249</v>
      </c>
      <c r="T54" s="4"/>
      <c r="U54" s="4">
        <v>2.538211584091187</v>
      </c>
      <c r="V54" s="4">
        <v>3.111660242080688</v>
      </c>
      <c r="W54" s="4">
        <v>7.9770103096961906E-2</v>
      </c>
      <c r="X54" s="5">
        <v>93.967008784000441</v>
      </c>
      <c r="Y54" s="5">
        <v>850.86247341900162</v>
      </c>
      <c r="Z54" s="2">
        <v>0</v>
      </c>
      <c r="AA54" s="3">
        <v>0.40000000596046448</v>
      </c>
      <c r="AB54" s="3">
        <v>4.0320988744497299E-2</v>
      </c>
      <c r="AC54" s="3">
        <v>0</v>
      </c>
      <c r="AD54" s="3">
        <v>0</v>
      </c>
      <c r="AE54" s="3">
        <v>-2.9358947459694278</v>
      </c>
      <c r="AF54" s="3">
        <v>0.8559257085348706</v>
      </c>
      <c r="AG54" s="3">
        <v>0.34785645426576162</v>
      </c>
      <c r="AH54" s="3">
        <v>0.82526119743341453</v>
      </c>
      <c r="AI54" s="3">
        <v>-2.9581138662826101</v>
      </c>
      <c r="AJ54" s="3">
        <v>0.86218469765012173</v>
      </c>
      <c r="AK54" s="3">
        <v>0.60447539827912222</v>
      </c>
      <c r="AL54" s="3">
        <v>0.81153016566180891</v>
      </c>
      <c r="AM54" s="3">
        <v>-3.0851481513465639</v>
      </c>
      <c r="AN54" s="3">
        <v>0.88403733981001331</v>
      </c>
      <c r="AO54" s="3">
        <v>0.24859415991331721</v>
      </c>
      <c r="AP54" s="3">
        <v>0.4488494010580672</v>
      </c>
      <c r="AQ54" s="3">
        <v>-3.0193357104993161</v>
      </c>
      <c r="AR54" s="3">
        <v>0.86136570004895641</v>
      </c>
      <c r="AS54" s="3">
        <v>-0.1194692646951329</v>
      </c>
      <c r="AT54" s="3">
        <v>0.4712545740633603</v>
      </c>
      <c r="AU54" s="16">
        <f t="shared" si="0"/>
        <v>-0.45154617527053315</v>
      </c>
      <c r="AV54" s="16">
        <f t="shared" si="1"/>
        <v>-0.25753685341600868</v>
      </c>
    </row>
    <row r="55" spans="1:48" x14ac:dyDescent="0.25">
      <c r="A55" s="2" t="s">
        <v>46</v>
      </c>
      <c r="B55" s="2" t="s">
        <v>47</v>
      </c>
      <c r="C55" s="3">
        <v>1E-3</v>
      </c>
      <c r="D55" s="3">
        <v>0.3</v>
      </c>
      <c r="E55" s="2" t="s">
        <v>52</v>
      </c>
      <c r="F55" s="3">
        <v>1</v>
      </c>
      <c r="G55" s="2" t="s">
        <v>49</v>
      </c>
      <c r="H55" s="2" t="s">
        <v>53</v>
      </c>
      <c r="I55" s="2">
        <v>91</v>
      </c>
      <c r="J55" s="2">
        <v>0</v>
      </c>
      <c r="K55" s="2">
        <v>97</v>
      </c>
      <c r="L55" s="2">
        <v>156</v>
      </c>
      <c r="M55" s="2">
        <v>1.714</v>
      </c>
      <c r="N55" s="2">
        <v>3</v>
      </c>
      <c r="O55" s="2">
        <v>1</v>
      </c>
      <c r="P55" s="2">
        <v>183</v>
      </c>
      <c r="Q55" s="2">
        <v>149</v>
      </c>
      <c r="R55" s="4">
        <v>3.0015091896057129</v>
      </c>
      <c r="S55" s="4">
        <v>2.76819896697998</v>
      </c>
      <c r="T55" s="4"/>
      <c r="U55" s="4"/>
      <c r="V55" s="4"/>
      <c r="W55" s="4">
        <v>0.10969413816928859</v>
      </c>
      <c r="X55" s="5">
        <v>17.66024595100043</v>
      </c>
      <c r="Y55" s="5">
        <v>29.2259932809975</v>
      </c>
      <c r="Z55" s="2">
        <v>0</v>
      </c>
      <c r="AA55" s="3">
        <v>0.27848663926124573</v>
      </c>
      <c r="AB55" s="3">
        <v>9.577971304963741E-9</v>
      </c>
      <c r="AC55" s="3">
        <v>0</v>
      </c>
      <c r="AD55" s="3">
        <v>0</v>
      </c>
      <c r="AE55" s="3">
        <v>-1.684285094726601</v>
      </c>
      <c r="AF55" s="3">
        <v>0.89084487307479088</v>
      </c>
      <c r="AG55" s="3">
        <v>0.43133831713108339</v>
      </c>
      <c r="AH55" s="3">
        <v>-1.5145127585943901E-2</v>
      </c>
      <c r="AI55" s="3">
        <v>-1.6876473928292319</v>
      </c>
      <c r="AJ55" s="3">
        <v>0.80894274219020113</v>
      </c>
      <c r="AK55" s="3">
        <v>0.2319663470869541</v>
      </c>
      <c r="AL55" s="3">
        <v>-0.1333383881899208</v>
      </c>
      <c r="AM55" s="3">
        <v>-1.9114353583595249</v>
      </c>
      <c r="AN55" s="3">
        <v>0.92933509676016701</v>
      </c>
      <c r="AO55" s="3">
        <v>0.25649589338819467</v>
      </c>
      <c r="AP55" s="3">
        <v>-0.13605886478614559</v>
      </c>
      <c r="AQ55" s="3">
        <v>-1.562515527482953</v>
      </c>
      <c r="AR55" s="3">
        <v>0.59585135984720705</v>
      </c>
      <c r="AS55" s="3">
        <v>-0.43247223895123049</v>
      </c>
      <c r="AT55" s="3">
        <v>3.8563449897496098E-2</v>
      </c>
      <c r="AU55" s="16">
        <f t="shared" si="0"/>
        <v>-0.3401432391723701</v>
      </c>
      <c r="AV55" s="16">
        <f t="shared" si="1"/>
        <v>-0.16824891307049808</v>
      </c>
    </row>
    <row r="56" spans="1:48" x14ac:dyDescent="0.25">
      <c r="A56" s="2" t="s">
        <v>46</v>
      </c>
      <c r="B56" s="2" t="s">
        <v>47</v>
      </c>
      <c r="C56" s="3">
        <v>1E-3</v>
      </c>
      <c r="D56" s="3">
        <v>0.3</v>
      </c>
      <c r="E56" s="2" t="s">
        <v>52</v>
      </c>
      <c r="F56" s="3">
        <v>1</v>
      </c>
      <c r="G56" s="2" t="s">
        <v>51</v>
      </c>
      <c r="H56" s="2" t="s">
        <v>53</v>
      </c>
      <c r="I56" s="2">
        <v>91</v>
      </c>
      <c r="J56" s="2">
        <v>0</v>
      </c>
      <c r="K56" s="2">
        <v>97</v>
      </c>
      <c r="L56" s="2">
        <v>156</v>
      </c>
      <c r="M56" s="2">
        <v>1.714</v>
      </c>
      <c r="N56" s="2">
        <v>2</v>
      </c>
      <c r="O56" s="2">
        <v>0</v>
      </c>
      <c r="P56" s="2">
        <v>10000</v>
      </c>
      <c r="Q56" s="2">
        <v>2942</v>
      </c>
      <c r="R56" s="4">
        <v>1.830095291137696</v>
      </c>
      <c r="S56" s="4">
        <v>1.091241995493571</v>
      </c>
      <c r="T56" s="4"/>
      <c r="U56" s="4">
        <v>1.4961353143056231</v>
      </c>
      <c r="V56" s="4">
        <v>3.2396829128265381</v>
      </c>
      <c r="W56" s="4">
        <v>6.3637621700763702E-2</v>
      </c>
      <c r="X56" s="5">
        <v>94.331713420000597</v>
      </c>
      <c r="Y56" s="5">
        <v>842.72046135299752</v>
      </c>
      <c r="Z56" s="2">
        <v>0</v>
      </c>
      <c r="AA56" s="3">
        <v>0.2404816597700119</v>
      </c>
      <c r="AB56" s="3">
        <v>3.9242831206820483E-11</v>
      </c>
      <c r="AC56" s="3">
        <v>-1.465359673602507E-7</v>
      </c>
      <c r="AD56" s="3">
        <v>0</v>
      </c>
      <c r="AE56" s="3">
        <v>-0.41634322588362499</v>
      </c>
      <c r="AF56" s="3">
        <v>0.95633012102547155</v>
      </c>
      <c r="AG56" s="3">
        <v>0.73297922582522212</v>
      </c>
      <c r="AH56" s="3">
        <v>0.98695499738307002</v>
      </c>
      <c r="AI56" s="3">
        <v>-0.36317223864363352</v>
      </c>
      <c r="AJ56" s="3">
        <v>0.86342311975059249</v>
      </c>
      <c r="AK56" s="3">
        <v>0.57831510966800403</v>
      </c>
      <c r="AL56" s="3">
        <v>0.89428504822705546</v>
      </c>
      <c r="AM56" s="3">
        <v>-0.6460151421731517</v>
      </c>
      <c r="AN56" s="3">
        <v>0.96846123757706515</v>
      </c>
      <c r="AO56" s="3">
        <v>0.81655151477185883</v>
      </c>
      <c r="AP56" s="3">
        <v>0.9640479029754232</v>
      </c>
      <c r="AQ56" s="3">
        <v>-0.1074844898885734</v>
      </c>
      <c r="AR56" s="3">
        <v>0.74371279832675274</v>
      </c>
      <c r="AS56" s="3">
        <v>-0.29467514902282071</v>
      </c>
      <c r="AT56" s="3">
        <v>0.87985813598191509</v>
      </c>
      <c r="AU56" s="16">
        <f t="shared" si="0"/>
        <v>0.30535282384931844</v>
      </c>
      <c r="AV56" s="16">
        <f t="shared" si="1"/>
        <v>0.52798480587527929</v>
      </c>
    </row>
    <row r="57" spans="1:48" x14ac:dyDescent="0.25">
      <c r="A57" s="2" t="s">
        <v>46</v>
      </c>
      <c r="B57" s="2" t="s">
        <v>47</v>
      </c>
      <c r="C57" s="3">
        <v>1E-3</v>
      </c>
      <c r="D57" s="3">
        <v>0.3</v>
      </c>
      <c r="E57" s="2" t="s">
        <v>52</v>
      </c>
      <c r="F57" s="3">
        <v>1</v>
      </c>
      <c r="G57" s="2" t="s">
        <v>51</v>
      </c>
      <c r="H57" s="2" t="s">
        <v>53</v>
      </c>
      <c r="I57" s="2">
        <v>91</v>
      </c>
      <c r="J57" s="2">
        <v>0</v>
      </c>
      <c r="K57" s="2">
        <v>97</v>
      </c>
      <c r="L57" s="2">
        <v>156</v>
      </c>
      <c r="M57" s="2">
        <v>1.714</v>
      </c>
      <c r="N57" s="2">
        <v>3</v>
      </c>
      <c r="O57" s="2">
        <v>0</v>
      </c>
      <c r="P57" s="2">
        <v>10000</v>
      </c>
      <c r="Q57" s="2">
        <v>2477</v>
      </c>
      <c r="R57" s="4">
        <v>2.328349351882935</v>
      </c>
      <c r="S57" s="4">
        <v>1.9558915694554651</v>
      </c>
      <c r="T57" s="4"/>
      <c r="U57" s="4">
        <v>2.3368504842122402</v>
      </c>
      <c r="V57" s="4">
        <v>3.7953586578369141</v>
      </c>
      <c r="W57" s="4">
        <v>8.90511274337768E-2</v>
      </c>
      <c r="X57" s="5">
        <v>88.121765591999974</v>
      </c>
      <c r="Y57" s="5">
        <v>582.68600026099739</v>
      </c>
      <c r="Z57" s="2">
        <v>0</v>
      </c>
      <c r="AA57" s="3">
        <v>0.20527291297912589</v>
      </c>
      <c r="AB57" s="3">
        <v>2.5059577524189081E-8</v>
      </c>
      <c r="AC57" s="3">
        <v>0</v>
      </c>
      <c r="AD57" s="3">
        <v>0</v>
      </c>
      <c r="AE57" s="3">
        <v>-1.334765848505286</v>
      </c>
      <c r="AF57" s="3">
        <v>0.94349118756925643</v>
      </c>
      <c r="AG57" s="3">
        <v>0.53084893322259696</v>
      </c>
      <c r="AH57" s="3">
        <v>0.7784486466559779</v>
      </c>
      <c r="AI57" s="3">
        <v>-0.94655896105048998</v>
      </c>
      <c r="AJ57" s="3">
        <v>0.87229560833758546</v>
      </c>
      <c r="AK57" s="3">
        <v>0.66594546321941184</v>
      </c>
      <c r="AL57" s="3">
        <v>0.44851686723748718</v>
      </c>
      <c r="AM57" s="3">
        <v>-1.99529501844053</v>
      </c>
      <c r="AN57" s="3">
        <v>0.87075610613846033</v>
      </c>
      <c r="AO57" s="3">
        <v>0.21319866097192069</v>
      </c>
      <c r="AP57" s="3">
        <v>0.26303434123742919</v>
      </c>
      <c r="AQ57" s="3">
        <v>-1.550420102732444</v>
      </c>
      <c r="AR57" s="3">
        <v>0.79453943095370472</v>
      </c>
      <c r="AS57" s="3">
        <v>-0.30925167493552008</v>
      </c>
      <c r="AT57" s="3">
        <v>0.71624121131939555</v>
      </c>
      <c r="AU57" s="16">
        <f t="shared" si="0"/>
        <v>-8.7222783848715929E-2</v>
      </c>
      <c r="AV57" s="16">
        <f t="shared" si="1"/>
        <v>0.10915966554948499</v>
      </c>
    </row>
    <row r="58" spans="1:48" x14ac:dyDescent="0.25">
      <c r="A58" s="2" t="s">
        <v>46</v>
      </c>
      <c r="B58" s="2" t="s">
        <v>47</v>
      </c>
      <c r="C58" s="3">
        <v>1E-3</v>
      </c>
      <c r="D58" s="3">
        <v>0.3</v>
      </c>
      <c r="E58" s="2" t="s">
        <v>54</v>
      </c>
      <c r="F58" s="3">
        <v>1</v>
      </c>
      <c r="G58" s="2" t="s">
        <v>49</v>
      </c>
      <c r="H58" s="2" t="s">
        <v>55</v>
      </c>
      <c r="I58" s="2">
        <v>195</v>
      </c>
      <c r="J58" s="2">
        <v>0</v>
      </c>
      <c r="K58" s="2">
        <v>201</v>
      </c>
      <c r="L58" s="2">
        <v>156</v>
      </c>
      <c r="M58" s="2">
        <v>0.8</v>
      </c>
      <c r="N58" s="2">
        <v>2</v>
      </c>
      <c r="O58" s="2">
        <v>1</v>
      </c>
      <c r="P58" s="2">
        <v>8935</v>
      </c>
      <c r="Q58" s="2">
        <v>8796</v>
      </c>
      <c r="R58" s="4">
        <v>2.377679586410522</v>
      </c>
      <c r="S58" s="4">
        <v>1.8377634286880491</v>
      </c>
      <c r="T58" s="4"/>
      <c r="U58" s="4"/>
      <c r="V58" s="4"/>
      <c r="W58" s="4">
        <v>0.1447332352399826</v>
      </c>
      <c r="X58" s="5">
        <v>87.327447915000448</v>
      </c>
      <c r="Y58" s="5">
        <v>791.53493905699725</v>
      </c>
      <c r="Z58" s="2">
        <v>0</v>
      </c>
      <c r="AA58" s="3">
        <v>0.40000000596046448</v>
      </c>
      <c r="AB58" s="3">
        <v>4.5704940276891648E-8</v>
      </c>
      <c r="AC58" s="3">
        <v>-3.3087144402088597E-7</v>
      </c>
      <c r="AD58" s="3">
        <v>0</v>
      </c>
      <c r="AE58" s="3">
        <v>-1.2295401316341681</v>
      </c>
      <c r="AF58" s="3">
        <v>0.90342205299515044</v>
      </c>
      <c r="AG58" s="3">
        <v>0.55004812056580488</v>
      </c>
      <c r="AH58" s="3">
        <v>0.71187086401088584</v>
      </c>
      <c r="AI58" s="3">
        <v>-1.231114356513348</v>
      </c>
      <c r="AJ58" s="3">
        <v>0.86879052800607492</v>
      </c>
      <c r="AK58" s="3">
        <v>0.83851704900739632</v>
      </c>
      <c r="AL58" s="3">
        <v>-0.36233489475085112</v>
      </c>
      <c r="AM58" s="3">
        <v>-1.5797391004374171</v>
      </c>
      <c r="AN58" s="3">
        <v>0.93708069716186015</v>
      </c>
      <c r="AO58" s="3">
        <v>0.34002683999424099</v>
      </c>
      <c r="AP58" s="3">
        <v>0.58538201612990903</v>
      </c>
      <c r="AQ58" s="3">
        <v>-2.0992348471056448</v>
      </c>
      <c r="AR58" s="3">
        <v>0.97188442938104758</v>
      </c>
      <c r="AS58" s="3">
        <v>3.7220332751309801E-2</v>
      </c>
      <c r="AT58" s="3">
        <v>2.92218845778494E-2</v>
      </c>
      <c r="AU58" s="16">
        <f t="shared" si="0"/>
        <v>-0.2652270500988595</v>
      </c>
      <c r="AV58" s="16">
        <f t="shared" si="1"/>
        <v>0.11103414037796151</v>
      </c>
    </row>
    <row r="59" spans="1:48" x14ac:dyDescent="0.25">
      <c r="A59" s="2" t="s">
        <v>46</v>
      </c>
      <c r="B59" s="2" t="s">
        <v>47</v>
      </c>
      <c r="C59" s="3">
        <v>1E-3</v>
      </c>
      <c r="D59" s="3">
        <v>0.3</v>
      </c>
      <c r="E59" s="2" t="s">
        <v>54</v>
      </c>
      <c r="F59" s="3">
        <v>1</v>
      </c>
      <c r="G59" s="2" t="s">
        <v>49</v>
      </c>
      <c r="H59" s="2" t="s">
        <v>55</v>
      </c>
      <c r="I59" s="2">
        <v>195</v>
      </c>
      <c r="J59" s="2">
        <v>0</v>
      </c>
      <c r="K59" s="2">
        <v>201</v>
      </c>
      <c r="L59" s="2">
        <v>156</v>
      </c>
      <c r="M59" s="2">
        <v>0.8</v>
      </c>
      <c r="N59" s="2">
        <v>3</v>
      </c>
      <c r="O59" s="2">
        <v>1</v>
      </c>
      <c r="P59" s="2">
        <v>2347</v>
      </c>
      <c r="Q59" s="2">
        <v>207</v>
      </c>
      <c r="R59" s="4">
        <v>3.0424790382385249</v>
      </c>
      <c r="S59" s="4">
        <v>2.8903759320576992</v>
      </c>
      <c r="T59" s="4"/>
      <c r="U59" s="4"/>
      <c r="V59" s="4"/>
      <c r="W59" s="4">
        <v>0.1263063699007034</v>
      </c>
      <c r="X59" s="5">
        <v>36.330566505999741</v>
      </c>
      <c r="Y59" s="5">
        <v>201.73297294800429</v>
      </c>
      <c r="Z59" s="2">
        <v>0</v>
      </c>
      <c r="AA59" s="3">
        <v>0.302147626876831</v>
      </c>
      <c r="AB59" s="3">
        <v>2.2310377727392541E-15</v>
      </c>
      <c r="AC59" s="3">
        <v>0</v>
      </c>
      <c r="AD59" s="3">
        <v>0</v>
      </c>
      <c r="AE59" s="3">
        <v>-1.8978087137707571</v>
      </c>
      <c r="AF59" s="3">
        <v>0.91126436193200822</v>
      </c>
      <c r="AG59" s="3">
        <v>0.24330245889457019</v>
      </c>
      <c r="AH59" s="3">
        <v>0.15461337495716551</v>
      </c>
      <c r="AI59" s="3">
        <v>-1.7543787300379901</v>
      </c>
      <c r="AJ59" s="3">
        <v>0.84689938571259504</v>
      </c>
      <c r="AK59" s="3">
        <v>0.16304300537652491</v>
      </c>
      <c r="AL59" s="3">
        <v>9.2626513813219694E-2</v>
      </c>
      <c r="AM59" s="3">
        <v>-2.0187247871124852</v>
      </c>
      <c r="AN59" s="3">
        <v>0.91353056690457002</v>
      </c>
      <c r="AO59" s="3">
        <v>6.6176961321693803E-2</v>
      </c>
      <c r="AP59" s="3">
        <v>0.10755199850873171</v>
      </c>
      <c r="AQ59" s="3">
        <v>-1.733926813605936</v>
      </c>
      <c r="AR59" s="3">
        <v>0.60211581471446429</v>
      </c>
      <c r="AS59" s="3">
        <v>-0.5559167013706301</v>
      </c>
      <c r="AT59" s="3">
        <v>0.25859543971379151</v>
      </c>
      <c r="AU59" s="16">
        <f t="shared" si="0"/>
        <v>-0.35728306513707758</v>
      </c>
      <c r="AV59" s="16">
        <f t="shared" si="1"/>
        <v>-0.1809919669583461</v>
      </c>
    </row>
    <row r="60" spans="1:48" x14ac:dyDescent="0.25">
      <c r="A60" s="2" t="s">
        <v>46</v>
      </c>
      <c r="B60" s="2" t="s">
        <v>47</v>
      </c>
      <c r="C60" s="3">
        <v>1E-3</v>
      </c>
      <c r="D60" s="3">
        <v>0.3</v>
      </c>
      <c r="E60" s="2" t="s">
        <v>54</v>
      </c>
      <c r="F60" s="3">
        <v>1</v>
      </c>
      <c r="G60" s="2" t="s">
        <v>51</v>
      </c>
      <c r="H60" s="2" t="s">
        <v>55</v>
      </c>
      <c r="I60" s="2">
        <v>195</v>
      </c>
      <c r="J60" s="2">
        <v>0</v>
      </c>
      <c r="K60" s="2">
        <v>201</v>
      </c>
      <c r="L60" s="2">
        <v>156</v>
      </c>
      <c r="M60" s="2">
        <v>0.8</v>
      </c>
      <c r="N60" s="2">
        <v>2</v>
      </c>
      <c r="O60" s="2">
        <v>1</v>
      </c>
      <c r="P60" s="2">
        <v>1</v>
      </c>
      <c r="Q60" s="2"/>
      <c r="R60" s="4"/>
      <c r="S60" s="4"/>
      <c r="T60" s="4"/>
      <c r="U60" s="4"/>
      <c r="V60" s="4"/>
      <c r="W60" s="4"/>
      <c r="X60" s="5">
        <v>17.882762516999719</v>
      </c>
      <c r="Y60" s="5">
        <v>16.814464501003389</v>
      </c>
      <c r="Z60" s="2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16" t="e">
        <f t="shared" si="0"/>
        <v>#DIV/0!</v>
      </c>
      <c r="AV60" s="16" t="e">
        <f t="shared" si="1"/>
        <v>#DIV/0!</v>
      </c>
    </row>
    <row r="61" spans="1:48" x14ac:dyDescent="0.25">
      <c r="A61" s="2" t="s">
        <v>46</v>
      </c>
      <c r="B61" s="2" t="s">
        <v>47</v>
      </c>
      <c r="C61" s="3">
        <v>1E-3</v>
      </c>
      <c r="D61" s="3">
        <v>0.3</v>
      </c>
      <c r="E61" s="2" t="s">
        <v>54</v>
      </c>
      <c r="F61" s="3">
        <v>1</v>
      </c>
      <c r="G61" s="2" t="s">
        <v>51</v>
      </c>
      <c r="H61" s="2" t="s">
        <v>55</v>
      </c>
      <c r="I61" s="2">
        <v>195</v>
      </c>
      <c r="J61" s="2">
        <v>0</v>
      </c>
      <c r="K61" s="2">
        <v>201</v>
      </c>
      <c r="L61" s="2">
        <v>156</v>
      </c>
      <c r="M61" s="2">
        <v>0.8</v>
      </c>
      <c r="N61" s="2">
        <v>3</v>
      </c>
      <c r="O61" s="2">
        <v>1</v>
      </c>
      <c r="P61" s="2">
        <v>298</v>
      </c>
      <c r="Q61" s="2">
        <v>274</v>
      </c>
      <c r="R61" s="4">
        <v>2.878954172134399</v>
      </c>
      <c r="S61" s="4">
        <v>1.7966996828715009</v>
      </c>
      <c r="T61" s="4"/>
      <c r="U61" s="4"/>
      <c r="V61" s="4"/>
      <c r="W61" s="4">
        <v>0.14993959665298459</v>
      </c>
      <c r="X61" s="5">
        <v>20.418401046999861</v>
      </c>
      <c r="Y61" s="5">
        <v>37.84751610699459</v>
      </c>
      <c r="Z61" s="2">
        <v>0</v>
      </c>
      <c r="AA61" s="3">
        <v>0.28562009334564209</v>
      </c>
      <c r="AB61" s="3">
        <v>-3.5123321140417829E-7</v>
      </c>
      <c r="AC61" s="3">
        <v>-4.9155232773046022E-8</v>
      </c>
      <c r="AD61" s="3">
        <v>0</v>
      </c>
      <c r="AE61" s="3">
        <v>-1.5313500052812501</v>
      </c>
      <c r="AF61" s="3">
        <v>0.95998945976147798</v>
      </c>
      <c r="AG61" s="3">
        <v>0.58868318012001208</v>
      </c>
      <c r="AH61" s="3">
        <v>0.7845408977715278</v>
      </c>
      <c r="AI61" s="3">
        <v>-1.4260980431434971</v>
      </c>
      <c r="AJ61" s="3">
        <v>0.86569328304336812</v>
      </c>
      <c r="AK61" s="3">
        <v>0.63106205923293468</v>
      </c>
      <c r="AL61" s="3">
        <v>0.79306709969538514</v>
      </c>
      <c r="AM61" s="3">
        <v>-1.884580640766349</v>
      </c>
      <c r="AN61" s="3">
        <v>0.97874828930510205</v>
      </c>
      <c r="AO61" s="3">
        <v>0.33813124166565711</v>
      </c>
      <c r="AP61" s="3">
        <v>0.50795422584430672</v>
      </c>
      <c r="AQ61" s="3">
        <v>-1.667375395095551</v>
      </c>
      <c r="AR61" s="3">
        <v>0.69126048449232824</v>
      </c>
      <c r="AS61" s="3">
        <v>-0.72035846416986771</v>
      </c>
      <c r="AT61" s="3">
        <v>0.63930750768180333</v>
      </c>
      <c r="AU61" s="16">
        <f t="shared" si="0"/>
        <v>-0.26429146677282178</v>
      </c>
      <c r="AV61" s="16">
        <f t="shared" si="1"/>
        <v>0.13382008727072295</v>
      </c>
    </row>
    <row r="62" spans="1:48" x14ac:dyDescent="0.25">
      <c r="A62" s="2" t="s">
        <v>46</v>
      </c>
      <c r="B62" s="2" t="s">
        <v>47</v>
      </c>
      <c r="C62" s="3">
        <v>1E-3</v>
      </c>
      <c r="D62" s="3">
        <v>0.3</v>
      </c>
      <c r="E62" s="2" t="s">
        <v>56</v>
      </c>
      <c r="F62" s="3">
        <v>1</v>
      </c>
      <c r="G62" s="2" t="s">
        <v>49</v>
      </c>
      <c r="H62" s="2" t="s">
        <v>57</v>
      </c>
      <c r="I62" s="2">
        <v>251</v>
      </c>
      <c r="J62" s="2">
        <v>0</v>
      </c>
      <c r="K62" s="2">
        <v>257</v>
      </c>
      <c r="L62" s="2">
        <v>156</v>
      </c>
      <c r="M62" s="2">
        <v>0.622</v>
      </c>
      <c r="N62" s="2">
        <v>2</v>
      </c>
      <c r="O62" s="2">
        <v>0</v>
      </c>
      <c r="P62" s="2">
        <v>10000</v>
      </c>
      <c r="Q62" s="2">
        <v>8075</v>
      </c>
      <c r="R62" s="4">
        <v>2.4763088226318359</v>
      </c>
      <c r="S62" s="4">
        <v>2.4692411422729492</v>
      </c>
      <c r="T62" s="4"/>
      <c r="U62" s="4">
        <v>2.3600599765777588</v>
      </c>
      <c r="V62" s="4">
        <v>3.1439118385314941</v>
      </c>
      <c r="W62" s="4">
        <v>8.1702679395675604E-2</v>
      </c>
      <c r="X62" s="5">
        <v>101.3555044959994</v>
      </c>
      <c r="Y62" s="5">
        <v>756.7333293000047</v>
      </c>
      <c r="Z62" s="2">
        <v>0</v>
      </c>
      <c r="AA62" s="3">
        <v>0.40000000596046448</v>
      </c>
      <c r="AB62" s="3">
        <v>2.8157089836895002E-3</v>
      </c>
      <c r="AC62" s="3">
        <v>0</v>
      </c>
      <c r="AD62" s="3">
        <v>0</v>
      </c>
      <c r="AE62" s="3">
        <v>-2.6696840058594029</v>
      </c>
      <c r="AF62" s="3">
        <v>0.87416361685269539</v>
      </c>
      <c r="AG62" s="3">
        <v>0.46653427621291033</v>
      </c>
      <c r="AH62" s="3">
        <v>0.80405947701141822</v>
      </c>
      <c r="AI62" s="3">
        <v>-2.663143762467048</v>
      </c>
      <c r="AJ62" s="3">
        <v>0.76534325896893018</v>
      </c>
      <c r="AK62" s="3">
        <v>0.72315341061082805</v>
      </c>
      <c r="AL62" s="3">
        <v>-0.75726624423165734</v>
      </c>
      <c r="AM62" s="3">
        <v>-2.7906912257166061</v>
      </c>
      <c r="AN62" s="3">
        <v>0.91249714557365558</v>
      </c>
      <c r="AO62" s="3">
        <v>0.23982791214139451</v>
      </c>
      <c r="AP62" s="3">
        <v>0.94574086040970595</v>
      </c>
      <c r="AQ62" s="3">
        <v>-2.8641895433292208</v>
      </c>
      <c r="AR62" s="3">
        <v>0.90974255920116875</v>
      </c>
      <c r="AS62" s="3">
        <v>-0.1041207997757323</v>
      </c>
      <c r="AT62" s="3">
        <v>0.64293993062035515</v>
      </c>
      <c r="AU62" s="16">
        <f t="shared" si="0"/>
        <v>-0.35390696332085736</v>
      </c>
      <c r="AV62" s="16">
        <f t="shared" si="1"/>
        <v>-0.26245544004109805</v>
      </c>
    </row>
    <row r="63" spans="1:48" x14ac:dyDescent="0.25">
      <c r="A63" s="2" t="s">
        <v>46</v>
      </c>
      <c r="B63" s="2" t="s">
        <v>47</v>
      </c>
      <c r="C63" s="3">
        <v>1E-3</v>
      </c>
      <c r="D63" s="3">
        <v>0.3</v>
      </c>
      <c r="E63" s="2" t="s">
        <v>56</v>
      </c>
      <c r="F63" s="3">
        <v>1</v>
      </c>
      <c r="G63" s="2" t="s">
        <v>49</v>
      </c>
      <c r="H63" s="2" t="s">
        <v>57</v>
      </c>
      <c r="I63" s="2">
        <v>251</v>
      </c>
      <c r="J63" s="2">
        <v>0</v>
      </c>
      <c r="K63" s="2">
        <v>257</v>
      </c>
      <c r="L63" s="2">
        <v>156</v>
      </c>
      <c r="M63" s="2">
        <v>0.622</v>
      </c>
      <c r="N63" s="2">
        <v>3</v>
      </c>
      <c r="O63" s="2">
        <v>1</v>
      </c>
      <c r="P63" s="2">
        <v>1129</v>
      </c>
      <c r="Q63" s="2">
        <v>9</v>
      </c>
      <c r="R63" s="4">
        <v>3.982682466506958</v>
      </c>
      <c r="S63" s="4">
        <v>6.3222791353861494</v>
      </c>
      <c r="T63" s="4"/>
      <c r="U63" s="4"/>
      <c r="V63" s="4"/>
      <c r="W63" s="4">
        <v>1.52339534834027E-2</v>
      </c>
      <c r="X63" s="5">
        <v>28.035928407000029</v>
      </c>
      <c r="Y63" s="5">
        <v>77.139469200999883</v>
      </c>
      <c r="Z63" s="2">
        <v>0</v>
      </c>
      <c r="AA63" s="3">
        <v>0.1095633581280708</v>
      </c>
      <c r="AB63" s="3">
        <v>0.33678513765335077</v>
      </c>
      <c r="AC63" s="3">
        <v>-8.0763129517436028E-10</v>
      </c>
      <c r="AD63" s="3">
        <v>0</v>
      </c>
      <c r="AE63" s="3">
        <v>-2.7410824405064198</v>
      </c>
      <c r="AF63" s="3">
        <v>0.69282580488085777</v>
      </c>
      <c r="AG63" s="3">
        <v>-0.58046602636238664</v>
      </c>
      <c r="AH63" s="3">
        <v>-0.40479644608753262</v>
      </c>
      <c r="AI63" s="3">
        <v>-3.207719376970195</v>
      </c>
      <c r="AJ63" s="3">
        <v>-0.89120135583540883</v>
      </c>
      <c r="AK63" s="3">
        <v>-0.47445960795088621</v>
      </c>
      <c r="AL63" s="3">
        <v>-0.93139608335242763</v>
      </c>
      <c r="AM63" s="3">
        <v>-3.0365170612580932</v>
      </c>
      <c r="AN63" s="3">
        <v>0.3023094405401846</v>
      </c>
      <c r="AO63" s="3">
        <v>-0.87127182648768953</v>
      </c>
      <c r="AP63" s="3">
        <v>-0.93628529026585683</v>
      </c>
      <c r="AQ63" s="3">
        <v>-2.7373455295318432</v>
      </c>
      <c r="AR63" s="3">
        <v>0.92243983887160641</v>
      </c>
      <c r="AS63" s="3">
        <v>-1.107193305151988</v>
      </c>
      <c r="AT63" s="3">
        <v>-0.57866210984190758</v>
      </c>
      <c r="AU63" s="16">
        <f t="shared" si="0"/>
        <v>-0.87519027641353309</v>
      </c>
      <c r="AV63" s="16">
        <f t="shared" si="1"/>
        <v>-1.0900050224713211</v>
      </c>
    </row>
    <row r="64" spans="1:48" x14ac:dyDescent="0.25">
      <c r="A64" s="2" t="s">
        <v>46</v>
      </c>
      <c r="B64" s="2" t="s">
        <v>47</v>
      </c>
      <c r="C64" s="3">
        <v>1E-3</v>
      </c>
      <c r="D64" s="3">
        <v>0.3</v>
      </c>
      <c r="E64" s="2" t="s">
        <v>56</v>
      </c>
      <c r="F64" s="3">
        <v>1</v>
      </c>
      <c r="G64" s="2" t="s">
        <v>51</v>
      </c>
      <c r="H64" s="2" t="s">
        <v>57</v>
      </c>
      <c r="I64" s="2">
        <v>251</v>
      </c>
      <c r="J64" s="2">
        <v>0</v>
      </c>
      <c r="K64" s="2">
        <v>257</v>
      </c>
      <c r="L64" s="2">
        <v>156</v>
      </c>
      <c r="M64" s="2">
        <v>0.622</v>
      </c>
      <c r="N64" s="2">
        <v>2</v>
      </c>
      <c r="O64" s="2">
        <v>0</v>
      </c>
      <c r="P64" s="2">
        <v>10000</v>
      </c>
      <c r="Q64" s="2">
        <v>7989</v>
      </c>
      <c r="R64" s="4">
        <v>3.062814474105835</v>
      </c>
      <c r="S64" s="4">
        <v>3.2410731315612802</v>
      </c>
      <c r="T64" s="4"/>
      <c r="U64" s="4">
        <v>3.1165856520334878</v>
      </c>
      <c r="V64" s="4">
        <v>3.2181754112243648</v>
      </c>
      <c r="W64" s="4">
        <v>8.7466485798358903E-2</v>
      </c>
      <c r="X64" s="5">
        <v>99.429336301000163</v>
      </c>
      <c r="Y64" s="5">
        <v>671.76884580100159</v>
      </c>
      <c r="Z64" s="2">
        <v>0</v>
      </c>
      <c r="AA64" s="3">
        <v>0.32407459616661072</v>
      </c>
      <c r="AB64" s="3">
        <v>3.0325369992922901E-10</v>
      </c>
      <c r="AC64" s="3">
        <v>0</v>
      </c>
      <c r="AD64" s="3">
        <v>0</v>
      </c>
      <c r="AE64" s="3">
        <v>-2.350680355832512</v>
      </c>
      <c r="AF64" s="3">
        <v>0.85509070047967561</v>
      </c>
      <c r="AG64" s="3">
        <v>1.33354307193573E-2</v>
      </c>
      <c r="AH64" s="3">
        <v>0.55453324300180007</v>
      </c>
      <c r="AI64" s="3">
        <v>-1.9802979238480249</v>
      </c>
      <c r="AJ64" s="3">
        <v>0.87595643673407286</v>
      </c>
      <c r="AK64" s="3">
        <v>1.8588508836168E-2</v>
      </c>
      <c r="AL64" s="3">
        <v>-0.21990040294920599</v>
      </c>
      <c r="AM64" s="3">
        <v>-2.141312812122329</v>
      </c>
      <c r="AN64" s="3">
        <v>0.78729090506253119</v>
      </c>
      <c r="AO64" s="3">
        <v>-0.25242210422153771</v>
      </c>
      <c r="AP64" s="3">
        <v>0.69796712142278605</v>
      </c>
      <c r="AQ64" s="3">
        <v>-2.3175458597730239</v>
      </c>
      <c r="AR64" s="3">
        <v>0.63593941082259275</v>
      </c>
      <c r="AS64" s="3">
        <v>-0.58279585966423086</v>
      </c>
      <c r="AT64" s="3">
        <v>0.54260447346901475</v>
      </c>
      <c r="AU64" s="16">
        <f t="shared" si="0"/>
        <v>-0.43044945878641178</v>
      </c>
      <c r="AV64" s="16">
        <f t="shared" si="1"/>
        <v>-0.26182093772643489</v>
      </c>
    </row>
    <row r="65" spans="1:48" x14ac:dyDescent="0.25">
      <c r="A65" s="2" t="s">
        <v>46</v>
      </c>
      <c r="B65" s="2" t="s">
        <v>47</v>
      </c>
      <c r="C65" s="3">
        <v>1E-3</v>
      </c>
      <c r="D65" s="3">
        <v>0.3</v>
      </c>
      <c r="E65" s="2" t="s">
        <v>56</v>
      </c>
      <c r="F65" s="3">
        <v>1</v>
      </c>
      <c r="G65" s="2" t="s">
        <v>51</v>
      </c>
      <c r="H65" s="2" t="s">
        <v>57</v>
      </c>
      <c r="I65" s="2">
        <v>251</v>
      </c>
      <c r="J65" s="2">
        <v>0</v>
      </c>
      <c r="K65" s="2">
        <v>257</v>
      </c>
      <c r="L65" s="2">
        <v>156</v>
      </c>
      <c r="M65" s="2">
        <v>0.622</v>
      </c>
      <c r="N65" s="2">
        <v>3</v>
      </c>
      <c r="O65" s="2">
        <v>1</v>
      </c>
      <c r="P65" s="2">
        <v>6</v>
      </c>
      <c r="Q65" s="2">
        <v>5</v>
      </c>
      <c r="R65" s="4">
        <v>3.5833919048309331</v>
      </c>
      <c r="S65" s="4">
        <v>5.8810679117838554</v>
      </c>
      <c r="T65" s="4"/>
      <c r="U65" s="4"/>
      <c r="V65" s="4"/>
      <c r="W65" s="4">
        <v>9.4213541597126995E-3</v>
      </c>
      <c r="X65" s="5">
        <v>25.145191664999398</v>
      </c>
      <c r="Y65" s="5">
        <v>26.371906872002</v>
      </c>
      <c r="Z65" s="2">
        <v>0</v>
      </c>
      <c r="AA65" s="3">
        <v>0.1039273887872695</v>
      </c>
      <c r="AB65" s="3">
        <v>5.3939715027809101E-2</v>
      </c>
      <c r="AC65" s="3">
        <v>0</v>
      </c>
      <c r="AD65" s="3">
        <v>0</v>
      </c>
      <c r="AE65" s="3">
        <v>-2.6018359643804478</v>
      </c>
      <c r="AF65" s="3">
        <v>0.74343083676461563</v>
      </c>
      <c r="AG65" s="3">
        <v>-0.55943769016385048</v>
      </c>
      <c r="AH65" s="3">
        <v>-3.7272527258674401E-2</v>
      </c>
      <c r="AI65" s="3">
        <v>-3.1369864207852358</v>
      </c>
      <c r="AJ65" s="3">
        <v>-0.82980496026809947</v>
      </c>
      <c r="AK65" s="3">
        <v>-0.4649275747134291</v>
      </c>
      <c r="AL65" s="3">
        <v>-0.5023075707048823</v>
      </c>
      <c r="AM65" s="3">
        <v>-2.9199492269123519</v>
      </c>
      <c r="AN65" s="3">
        <v>0.49024730400429539</v>
      </c>
      <c r="AO65" s="3">
        <v>-0.8498403159787753</v>
      </c>
      <c r="AP65" s="3">
        <v>-0.40190468995961082</v>
      </c>
      <c r="AQ65" s="3">
        <v>-2.5934424823148552</v>
      </c>
      <c r="AR65" s="3">
        <v>0.93365116910408563</v>
      </c>
      <c r="AS65" s="3">
        <v>-1.060369177873872</v>
      </c>
      <c r="AT65" s="3">
        <v>-1.4612480233164801E-2</v>
      </c>
      <c r="AU65" s="16">
        <f t="shared" si="0"/>
        <v>-0.68369324282945154</v>
      </c>
      <c r="AV65" s="16">
        <f t="shared" si="1"/>
        <v>-0.9225490666963706</v>
      </c>
    </row>
    <row r="66" spans="1:48" x14ac:dyDescent="0.25">
      <c r="A66" s="2" t="s">
        <v>46</v>
      </c>
      <c r="B66" s="2" t="s">
        <v>47</v>
      </c>
      <c r="C66" s="3">
        <v>0.01</v>
      </c>
      <c r="D66" s="3">
        <v>0.1</v>
      </c>
      <c r="E66" s="2" t="s">
        <v>48</v>
      </c>
      <c r="F66" s="3">
        <v>1</v>
      </c>
      <c r="G66" s="2" t="s">
        <v>49</v>
      </c>
      <c r="H66" s="2" t="s">
        <v>50</v>
      </c>
      <c r="I66" s="2">
        <v>61</v>
      </c>
      <c r="J66" s="2">
        <v>0</v>
      </c>
      <c r="K66" s="2">
        <v>67</v>
      </c>
      <c r="L66" s="2">
        <v>156</v>
      </c>
      <c r="M66" s="2">
        <v>2.5569999999999999</v>
      </c>
      <c r="N66" s="2">
        <v>2</v>
      </c>
      <c r="O66" s="2">
        <v>1</v>
      </c>
      <c r="P66" s="2">
        <v>1</v>
      </c>
      <c r="Q66" s="2"/>
      <c r="R66" s="4"/>
      <c r="S66" s="4"/>
      <c r="T66" s="4"/>
      <c r="U66" s="4"/>
      <c r="V66" s="4"/>
      <c r="W66" s="4"/>
      <c r="X66" s="5">
        <v>19.277014770000001</v>
      </c>
      <c r="Y66" s="5">
        <v>17.33892482900001</v>
      </c>
      <c r="Z66" s="2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16" t="e">
        <f t="shared" si="0"/>
        <v>#DIV/0!</v>
      </c>
      <c r="AV66" s="16" t="e">
        <f t="shared" si="1"/>
        <v>#DIV/0!</v>
      </c>
    </row>
    <row r="67" spans="1:48" x14ac:dyDescent="0.25">
      <c r="A67" s="2" t="s">
        <v>46</v>
      </c>
      <c r="B67" s="2" t="s">
        <v>47</v>
      </c>
      <c r="C67" s="3">
        <v>0.01</v>
      </c>
      <c r="D67" s="3">
        <v>0.1</v>
      </c>
      <c r="E67" s="2" t="s">
        <v>48</v>
      </c>
      <c r="F67" s="3">
        <v>1</v>
      </c>
      <c r="G67" s="2" t="s">
        <v>49</v>
      </c>
      <c r="H67" s="2" t="s">
        <v>50</v>
      </c>
      <c r="I67" s="2">
        <v>61</v>
      </c>
      <c r="J67" s="2">
        <v>0</v>
      </c>
      <c r="K67" s="2">
        <v>67</v>
      </c>
      <c r="L67" s="2">
        <v>156</v>
      </c>
      <c r="M67" s="2">
        <v>2.5569999999999999</v>
      </c>
      <c r="N67" s="2">
        <v>3</v>
      </c>
      <c r="O67" s="2">
        <v>1</v>
      </c>
      <c r="P67" s="2">
        <v>7</v>
      </c>
      <c r="Q67" s="2">
        <v>6</v>
      </c>
      <c r="R67" s="4">
        <v>3.9693732261657719</v>
      </c>
      <c r="S67" s="4">
        <v>4.3549373149871826</v>
      </c>
      <c r="T67" s="4"/>
      <c r="U67" s="4"/>
      <c r="V67" s="4"/>
      <c r="W67" s="4">
        <v>6.9130420684814398E-2</v>
      </c>
      <c r="X67" s="5">
        <v>14.86407065600002</v>
      </c>
      <c r="Y67" s="5">
        <v>17.567932433999999</v>
      </c>
      <c r="Z67" s="2">
        <v>0</v>
      </c>
      <c r="AA67" s="3">
        <v>0.16968889534473419</v>
      </c>
      <c r="AB67" s="3">
        <v>-3.4278855309821671E-7</v>
      </c>
      <c r="AC67" s="3">
        <v>0</v>
      </c>
      <c r="AD67" s="3">
        <v>0</v>
      </c>
      <c r="AE67" s="3">
        <v>-0.89281015852231649</v>
      </c>
      <c r="AF67" s="3">
        <v>7.1294593276918505E-2</v>
      </c>
      <c r="AG67" s="3">
        <v>-0.58110384038519092</v>
      </c>
      <c r="AH67" s="3">
        <v>0.87530429285432221</v>
      </c>
      <c r="AI67" s="3">
        <v>-0.94962755973164603</v>
      </c>
      <c r="AJ67" s="3">
        <v>0.94115163337484242</v>
      </c>
      <c r="AK67" s="3">
        <v>-0.47497146011319308</v>
      </c>
      <c r="AL67" s="3">
        <v>-0.83177754875922516</v>
      </c>
      <c r="AM67" s="3">
        <v>-1.735709493053549</v>
      </c>
      <c r="AN67" s="3">
        <v>0.2772697149170209</v>
      </c>
      <c r="AO67" s="3">
        <v>-0.87145108871476706</v>
      </c>
      <c r="AP67" s="3">
        <v>0.8273905998896639</v>
      </c>
      <c r="AQ67" s="3">
        <v>-1.326032865131868</v>
      </c>
      <c r="AR67" s="3">
        <v>-0.28721289580097381</v>
      </c>
      <c r="AS67" s="3">
        <v>-1.1073897722428609</v>
      </c>
      <c r="AT67" s="3">
        <v>0.86249903377614956</v>
      </c>
      <c r="AU67" s="16">
        <f t="shared" ref="AU67:AU97" si="2">AVERAGE(AQ67:AT67)</f>
        <v>-0.46453412484988832</v>
      </c>
      <c r="AV67" s="16">
        <f t="shared" ref="AV67:AV97" si="3">AVERAGE(AE67:AP67)</f>
        <v>-0.27875335958059339</v>
      </c>
    </row>
    <row r="68" spans="1:48" x14ac:dyDescent="0.25">
      <c r="A68" s="2" t="s">
        <v>46</v>
      </c>
      <c r="B68" s="2" t="s">
        <v>47</v>
      </c>
      <c r="C68" s="3">
        <v>0.01</v>
      </c>
      <c r="D68" s="3">
        <v>0.1</v>
      </c>
      <c r="E68" s="2" t="s">
        <v>48</v>
      </c>
      <c r="F68" s="3">
        <v>1</v>
      </c>
      <c r="G68" s="2" t="s">
        <v>51</v>
      </c>
      <c r="H68" s="2" t="s">
        <v>50</v>
      </c>
      <c r="I68" s="2">
        <v>61</v>
      </c>
      <c r="J68" s="2">
        <v>0</v>
      </c>
      <c r="K68" s="2">
        <v>67</v>
      </c>
      <c r="L68" s="2">
        <v>156</v>
      </c>
      <c r="M68" s="2">
        <v>2.5569999999999999</v>
      </c>
      <c r="N68" s="2">
        <v>2</v>
      </c>
      <c r="O68" s="2">
        <v>1</v>
      </c>
      <c r="P68" s="2">
        <v>1</v>
      </c>
      <c r="Q68" s="2"/>
      <c r="R68" s="4"/>
      <c r="S68" s="4"/>
      <c r="T68" s="4"/>
      <c r="U68" s="4"/>
      <c r="V68" s="4"/>
      <c r="W68" s="4"/>
      <c r="X68" s="5">
        <v>19.675281266999999</v>
      </c>
      <c r="Y68" s="5">
        <v>18.94177675200001</v>
      </c>
      <c r="Z68" s="2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16" t="e">
        <f t="shared" si="2"/>
        <v>#DIV/0!</v>
      </c>
      <c r="AV68" s="16" t="e">
        <f t="shared" si="3"/>
        <v>#DIV/0!</v>
      </c>
    </row>
    <row r="69" spans="1:48" x14ac:dyDescent="0.25">
      <c r="A69" s="2" t="s">
        <v>46</v>
      </c>
      <c r="B69" s="2" t="s">
        <v>47</v>
      </c>
      <c r="C69" s="3">
        <v>0.01</v>
      </c>
      <c r="D69" s="3">
        <v>0.1</v>
      </c>
      <c r="E69" s="2" t="s">
        <v>48</v>
      </c>
      <c r="F69" s="3">
        <v>1</v>
      </c>
      <c r="G69" s="2" t="s">
        <v>51</v>
      </c>
      <c r="H69" s="2" t="s">
        <v>50</v>
      </c>
      <c r="I69" s="2">
        <v>61</v>
      </c>
      <c r="J69" s="2">
        <v>0</v>
      </c>
      <c r="K69" s="2">
        <v>67</v>
      </c>
      <c r="L69" s="2">
        <v>156</v>
      </c>
      <c r="M69" s="2">
        <v>2.5569999999999999</v>
      </c>
      <c r="N69" s="2">
        <v>3</v>
      </c>
      <c r="O69" s="2">
        <v>1</v>
      </c>
      <c r="P69" s="2">
        <v>2925</v>
      </c>
      <c r="Q69" s="2">
        <v>2801</v>
      </c>
      <c r="R69" s="4">
        <v>4.2052078247070313</v>
      </c>
      <c r="S69" s="4">
        <v>5.275168577829997</v>
      </c>
      <c r="T69" s="4"/>
      <c r="U69" s="4"/>
      <c r="V69" s="4"/>
      <c r="W69" s="4">
        <v>8.0342307686805697E-2</v>
      </c>
      <c r="X69" s="5">
        <v>35.224919292999999</v>
      </c>
      <c r="Y69" s="5">
        <v>122.95275681699999</v>
      </c>
      <c r="Z69" s="2">
        <v>0</v>
      </c>
      <c r="AA69" s="3">
        <v>3.6068224744667532E-6</v>
      </c>
      <c r="AB69" s="3">
        <v>7.7920870780944824</v>
      </c>
      <c r="AC69" s="3">
        <v>0</v>
      </c>
      <c r="AD69" s="3">
        <v>0</v>
      </c>
      <c r="AE69" s="3">
        <v>-3.318450871073392</v>
      </c>
      <c r="AF69" s="3">
        <v>0.42796762286987211</v>
      </c>
      <c r="AG69" s="3">
        <v>2.6962011086168601E-2</v>
      </c>
      <c r="AH69" s="3">
        <v>-1.7353964990790181</v>
      </c>
      <c r="AI69" s="3">
        <v>-3.5056139615296971</v>
      </c>
      <c r="AJ69" s="3">
        <v>0.3724032521589683</v>
      </c>
      <c r="AK69" s="3">
        <v>-2.9388164557783099E-2</v>
      </c>
      <c r="AL69" s="3">
        <v>-1.8303664993291531</v>
      </c>
      <c r="AM69" s="3">
        <v>-3.324258030231098</v>
      </c>
      <c r="AN69" s="3">
        <v>0.47555682963067941</v>
      </c>
      <c r="AO69" s="3">
        <v>7.9812879477703602E-2</v>
      </c>
      <c r="AP69" s="3">
        <v>-1.6881417897172319</v>
      </c>
      <c r="AQ69" s="3">
        <v>-3.2159721827435801</v>
      </c>
      <c r="AR69" s="3">
        <v>0.43980596214859902</v>
      </c>
      <c r="AS69" s="3">
        <v>0.1037217367204841</v>
      </c>
      <c r="AT69" s="3">
        <v>-1.872234201287851</v>
      </c>
      <c r="AU69" s="16">
        <f t="shared" si="2"/>
        <v>-1.1361696712905871</v>
      </c>
      <c r="AV69" s="16">
        <f t="shared" si="3"/>
        <v>-1.1707427683578318</v>
      </c>
    </row>
    <row r="70" spans="1:48" x14ac:dyDescent="0.25">
      <c r="A70" s="2" t="s">
        <v>46</v>
      </c>
      <c r="B70" s="2" t="s">
        <v>47</v>
      </c>
      <c r="C70" s="3">
        <v>0.01</v>
      </c>
      <c r="D70" s="3">
        <v>0.1</v>
      </c>
      <c r="E70" s="2" t="s">
        <v>52</v>
      </c>
      <c r="F70" s="3">
        <v>1</v>
      </c>
      <c r="G70" s="2" t="s">
        <v>49</v>
      </c>
      <c r="H70" s="2" t="s">
        <v>53</v>
      </c>
      <c r="I70" s="2">
        <v>91</v>
      </c>
      <c r="J70" s="2">
        <v>0</v>
      </c>
      <c r="K70" s="2">
        <v>97</v>
      </c>
      <c r="L70" s="2">
        <v>156</v>
      </c>
      <c r="M70" s="2">
        <v>1.714</v>
      </c>
      <c r="N70" s="2">
        <v>2</v>
      </c>
      <c r="O70" s="2">
        <v>0</v>
      </c>
      <c r="P70" s="2">
        <v>10000</v>
      </c>
      <c r="Q70" s="2">
        <v>847</v>
      </c>
      <c r="R70" s="4">
        <v>4.4750895500183114</v>
      </c>
      <c r="S70" s="4">
        <v>5.1312244733174639</v>
      </c>
      <c r="T70" s="4"/>
      <c r="U70" s="4">
        <v>5.0743986765543623</v>
      </c>
      <c r="V70" s="4">
        <v>5.9289608001708984</v>
      </c>
      <c r="W70" s="4">
        <v>0.11229921132326121</v>
      </c>
      <c r="X70" s="5">
        <v>88.599019228999964</v>
      </c>
      <c r="Y70" s="5">
        <v>410.47116812099989</v>
      </c>
      <c r="Z70" s="2">
        <v>0</v>
      </c>
      <c r="AA70" s="3">
        <v>0.40000000596046448</v>
      </c>
      <c r="AB70" s="3">
        <v>5.5633734064031173E-8</v>
      </c>
      <c r="AC70" s="3">
        <v>0</v>
      </c>
      <c r="AD70" s="3">
        <v>0</v>
      </c>
      <c r="AE70" s="3">
        <v>-1.401106492141736</v>
      </c>
      <c r="AF70" s="3">
        <v>0.90509174814683602</v>
      </c>
      <c r="AG70" s="3">
        <v>-0.58110384038519092</v>
      </c>
      <c r="AH70" s="3">
        <v>-1.7353964990790181</v>
      </c>
      <c r="AI70" s="3">
        <v>-1.511586723765155</v>
      </c>
      <c r="AJ70" s="3">
        <v>0.85363033221732798</v>
      </c>
      <c r="AK70" s="3">
        <v>-0.47497146011319308</v>
      </c>
      <c r="AL70" s="3">
        <v>-1.8303664993291531</v>
      </c>
      <c r="AM70" s="3">
        <v>-1.8020313446510901</v>
      </c>
      <c r="AN70" s="3">
        <v>0.9398162585883364</v>
      </c>
      <c r="AO70" s="3">
        <v>-0.87145108871476706</v>
      </c>
      <c r="AP70" s="3">
        <v>-1.6881417897172319</v>
      </c>
      <c r="AQ70" s="3">
        <v>-2.1889963559066952</v>
      </c>
      <c r="AR70" s="3">
        <v>0.95129379582998841</v>
      </c>
      <c r="AS70" s="3">
        <v>-1.1073897722428609</v>
      </c>
      <c r="AT70" s="3">
        <v>-1.872234201287851</v>
      </c>
      <c r="AU70" s="16">
        <f t="shared" si="2"/>
        <v>-1.0543316334018547</v>
      </c>
      <c r="AV70" s="16">
        <f t="shared" si="3"/>
        <v>-0.76646811657866953</v>
      </c>
    </row>
    <row r="71" spans="1:48" x14ac:dyDescent="0.25">
      <c r="A71" s="2" t="s">
        <v>46</v>
      </c>
      <c r="B71" s="2" t="s">
        <v>47</v>
      </c>
      <c r="C71" s="3">
        <v>0.01</v>
      </c>
      <c r="D71" s="3">
        <v>0.1</v>
      </c>
      <c r="E71" s="2" t="s">
        <v>52</v>
      </c>
      <c r="F71" s="3">
        <v>1</v>
      </c>
      <c r="G71" s="2" t="s">
        <v>49</v>
      </c>
      <c r="H71" s="2" t="s">
        <v>53</v>
      </c>
      <c r="I71" s="2">
        <v>91</v>
      </c>
      <c r="J71" s="2">
        <v>0</v>
      </c>
      <c r="K71" s="2">
        <v>97</v>
      </c>
      <c r="L71" s="2">
        <v>156</v>
      </c>
      <c r="M71" s="2">
        <v>1.714</v>
      </c>
      <c r="N71" s="2">
        <v>3</v>
      </c>
      <c r="O71" s="2">
        <v>1</v>
      </c>
      <c r="P71" s="2">
        <v>25</v>
      </c>
      <c r="Q71" s="2">
        <v>2</v>
      </c>
      <c r="R71" s="4">
        <v>3.1332235336303711</v>
      </c>
      <c r="S71" s="4">
        <v>5.3457075754801444</v>
      </c>
      <c r="T71" s="4"/>
      <c r="U71" s="4"/>
      <c r="V71" s="4"/>
      <c r="W71" s="4">
        <v>3.7149377167224801E-2</v>
      </c>
      <c r="X71" s="5">
        <v>16.263274987000049</v>
      </c>
      <c r="Y71" s="5">
        <v>17.065267969999919</v>
      </c>
      <c r="Z71" s="2">
        <v>0</v>
      </c>
      <c r="AA71" s="3">
        <v>0.1294769793748855</v>
      </c>
      <c r="AB71" s="3">
        <v>0.74752062559127808</v>
      </c>
      <c r="AC71" s="3">
        <v>0</v>
      </c>
      <c r="AD71" s="3">
        <v>0</v>
      </c>
      <c r="AE71" s="3">
        <v>-3.0045212669877031</v>
      </c>
      <c r="AF71" s="3">
        <v>0.80739509577990787</v>
      </c>
      <c r="AG71" s="3">
        <v>-0.28503350987631881</v>
      </c>
      <c r="AH71" s="3">
        <v>-0.40963049503566168</v>
      </c>
      <c r="AI71" s="3">
        <v>-3.315739843414431</v>
      </c>
      <c r="AJ71" s="3">
        <v>-0.21343970874090959</v>
      </c>
      <c r="AK71" s="3">
        <v>-0.63901935328709847</v>
      </c>
      <c r="AL71" s="3">
        <v>-0.10473267810458339</v>
      </c>
      <c r="AM71" s="3">
        <v>-3.1979334610487569</v>
      </c>
      <c r="AN71" s="3">
        <v>0.56197362408183282</v>
      </c>
      <c r="AO71" s="3">
        <v>-0.52135075345455983</v>
      </c>
      <c r="AP71" s="3">
        <v>-0.15516519507839721</v>
      </c>
      <c r="AQ71" s="3">
        <v>-2.9905144765163558</v>
      </c>
      <c r="AR71" s="3">
        <v>0.80456398681144026</v>
      </c>
      <c r="AS71" s="3">
        <v>-0.4341561813145276</v>
      </c>
      <c r="AT71" s="3">
        <v>0.2388610281279708</v>
      </c>
      <c r="AU71" s="16">
        <f t="shared" si="2"/>
        <v>-0.5953114107228682</v>
      </c>
      <c r="AV71" s="16">
        <f t="shared" si="3"/>
        <v>-0.87309979543055649</v>
      </c>
    </row>
    <row r="72" spans="1:48" x14ac:dyDescent="0.25">
      <c r="A72" s="2" t="s">
        <v>46</v>
      </c>
      <c r="B72" s="2" t="s">
        <v>47</v>
      </c>
      <c r="C72" s="3">
        <v>0.01</v>
      </c>
      <c r="D72" s="3">
        <v>0.1</v>
      </c>
      <c r="E72" s="2" t="s">
        <v>52</v>
      </c>
      <c r="F72" s="3">
        <v>1</v>
      </c>
      <c r="G72" s="2" t="s">
        <v>51</v>
      </c>
      <c r="H72" s="2" t="s">
        <v>53</v>
      </c>
      <c r="I72" s="2">
        <v>91</v>
      </c>
      <c r="J72" s="2">
        <v>0</v>
      </c>
      <c r="K72" s="2">
        <v>97</v>
      </c>
      <c r="L72" s="2">
        <v>156</v>
      </c>
      <c r="M72" s="2">
        <v>1.714</v>
      </c>
      <c r="N72" s="2">
        <v>2</v>
      </c>
      <c r="O72" s="2">
        <v>1</v>
      </c>
      <c r="P72" s="2">
        <v>39</v>
      </c>
      <c r="Q72" s="2">
        <v>14</v>
      </c>
      <c r="R72" s="4">
        <v>5.1818361282348633</v>
      </c>
      <c r="S72" s="4">
        <v>6.3025002479553223</v>
      </c>
      <c r="T72" s="4"/>
      <c r="U72" s="4"/>
      <c r="V72" s="4"/>
      <c r="W72" s="4">
        <v>0.19884191453456879</v>
      </c>
      <c r="X72" s="5">
        <v>21.117235345999969</v>
      </c>
      <c r="Y72" s="5">
        <v>21.135210764000021</v>
      </c>
      <c r="Z72" s="2">
        <v>0</v>
      </c>
      <c r="AA72" s="3">
        <v>3.4602244850247999E-3</v>
      </c>
      <c r="AB72" s="3">
        <v>6.557645320892334</v>
      </c>
      <c r="AC72" s="3">
        <v>0</v>
      </c>
      <c r="AD72" s="3">
        <v>0</v>
      </c>
      <c r="AE72" s="3">
        <v>-3.2666240539601561</v>
      </c>
      <c r="AF72" s="3">
        <v>0.43042457450934479</v>
      </c>
      <c r="AG72" s="3">
        <v>-0.58110384038519092</v>
      </c>
      <c r="AH72" s="3">
        <v>-1.7353964990790181</v>
      </c>
      <c r="AI72" s="3">
        <v>-3.4512891492597841</v>
      </c>
      <c r="AJ72" s="3">
        <v>0.51128376119517527</v>
      </c>
      <c r="AK72" s="3">
        <v>-0.47497146011319308</v>
      </c>
      <c r="AL72" s="3">
        <v>-1.8303664993291531</v>
      </c>
      <c r="AM72" s="3">
        <v>-3.318768492054669</v>
      </c>
      <c r="AN72" s="3">
        <v>0.23374573966405279</v>
      </c>
      <c r="AO72" s="3">
        <v>-0.87145108871476706</v>
      </c>
      <c r="AP72" s="3">
        <v>-1.6881417897172319</v>
      </c>
      <c r="AQ72" s="3">
        <v>-3.1991532691599698</v>
      </c>
      <c r="AR72" s="3">
        <v>0.55305414083691229</v>
      </c>
      <c r="AS72" s="3">
        <v>-1.1073897722428609</v>
      </c>
      <c r="AT72" s="3">
        <v>-1.872234201287851</v>
      </c>
      <c r="AU72" s="16">
        <f t="shared" si="2"/>
        <v>-1.4064307754634424</v>
      </c>
      <c r="AV72" s="16">
        <f t="shared" si="3"/>
        <v>-1.336888233103716</v>
      </c>
    </row>
    <row r="73" spans="1:48" x14ac:dyDescent="0.25">
      <c r="A73" s="2" t="s">
        <v>46</v>
      </c>
      <c r="B73" s="2" t="s">
        <v>47</v>
      </c>
      <c r="C73" s="3">
        <v>0.01</v>
      </c>
      <c r="D73" s="3">
        <v>0.1</v>
      </c>
      <c r="E73" s="2" t="s">
        <v>52</v>
      </c>
      <c r="F73" s="3">
        <v>1</v>
      </c>
      <c r="G73" s="2" t="s">
        <v>51</v>
      </c>
      <c r="H73" s="2" t="s">
        <v>53</v>
      </c>
      <c r="I73" s="2">
        <v>91</v>
      </c>
      <c r="J73" s="2">
        <v>0</v>
      </c>
      <c r="K73" s="2">
        <v>97</v>
      </c>
      <c r="L73" s="2">
        <v>156</v>
      </c>
      <c r="M73" s="2">
        <v>1.714</v>
      </c>
      <c r="N73" s="2">
        <v>3</v>
      </c>
      <c r="O73" s="2">
        <v>1</v>
      </c>
      <c r="P73" s="2">
        <v>23</v>
      </c>
      <c r="Q73" s="2">
        <v>17</v>
      </c>
      <c r="R73" s="4">
        <v>5.1374068260192871</v>
      </c>
      <c r="S73" s="4">
        <v>5.8643002510070801</v>
      </c>
      <c r="T73" s="4"/>
      <c r="U73" s="4"/>
      <c r="V73" s="4"/>
      <c r="W73" s="4">
        <v>0.13076199591159821</v>
      </c>
      <c r="X73" s="5">
        <v>16.47252088200003</v>
      </c>
      <c r="Y73" s="5">
        <v>14.65348521200008</v>
      </c>
      <c r="Z73" s="2">
        <v>0</v>
      </c>
      <c r="AA73" s="3">
        <v>0.10831479728221891</v>
      </c>
      <c r="AB73" s="3">
        <v>0.42592358589172358</v>
      </c>
      <c r="AC73" s="3">
        <v>0</v>
      </c>
      <c r="AD73" s="3">
        <v>0</v>
      </c>
      <c r="AE73" s="3">
        <v>-3.1504188537240432</v>
      </c>
      <c r="AF73" s="3">
        <v>0.68363647940745498</v>
      </c>
      <c r="AG73" s="3">
        <v>-0.58110384038519092</v>
      </c>
      <c r="AH73" s="3">
        <v>-1.7353964990790181</v>
      </c>
      <c r="AI73" s="3">
        <v>-3.3258958228168729</v>
      </c>
      <c r="AJ73" s="3">
        <v>0.7863006673755627</v>
      </c>
      <c r="AK73" s="3">
        <v>-0.47497146011319308</v>
      </c>
      <c r="AL73" s="3">
        <v>-1.8303664993291531</v>
      </c>
      <c r="AM73" s="3">
        <v>-3.2727297954777979</v>
      </c>
      <c r="AN73" s="3">
        <v>0.63594520267332255</v>
      </c>
      <c r="AO73" s="3">
        <v>-0.87145108871476706</v>
      </c>
      <c r="AP73" s="3">
        <v>-1.6881417897172319</v>
      </c>
      <c r="AQ73" s="3">
        <v>-3.1159783684601492</v>
      </c>
      <c r="AR73" s="3">
        <v>0.57190514095106115</v>
      </c>
      <c r="AS73" s="3">
        <v>-1.1073897722428609</v>
      </c>
      <c r="AT73" s="3">
        <v>-1.872234201287851</v>
      </c>
      <c r="AU73" s="16">
        <f t="shared" si="2"/>
        <v>-1.3809243002599501</v>
      </c>
      <c r="AV73" s="16">
        <f t="shared" si="3"/>
        <v>-1.2353827749917439</v>
      </c>
    </row>
    <row r="74" spans="1:48" x14ac:dyDescent="0.25">
      <c r="A74" s="2" t="s">
        <v>46</v>
      </c>
      <c r="B74" s="2" t="s">
        <v>47</v>
      </c>
      <c r="C74" s="3">
        <v>0.01</v>
      </c>
      <c r="D74" s="3">
        <v>0.1</v>
      </c>
      <c r="E74" s="2" t="s">
        <v>54</v>
      </c>
      <c r="F74" s="3">
        <v>1</v>
      </c>
      <c r="G74" s="2" t="s">
        <v>49</v>
      </c>
      <c r="H74" s="2" t="s">
        <v>55</v>
      </c>
      <c r="I74" s="2">
        <v>195</v>
      </c>
      <c r="J74" s="2">
        <v>0</v>
      </c>
      <c r="K74" s="2">
        <v>201</v>
      </c>
      <c r="L74" s="2">
        <v>156</v>
      </c>
      <c r="M74" s="2">
        <v>0.8</v>
      </c>
      <c r="N74" s="2">
        <v>2</v>
      </c>
      <c r="O74" s="2">
        <v>1</v>
      </c>
      <c r="P74" s="2">
        <v>184</v>
      </c>
      <c r="Q74" s="2">
        <v>73</v>
      </c>
      <c r="R74" s="4">
        <v>2.5467100143432622</v>
      </c>
      <c r="S74" s="4">
        <v>2.1566083431243901</v>
      </c>
      <c r="T74" s="4"/>
      <c r="U74" s="4"/>
      <c r="V74" s="4"/>
      <c r="W74" s="4">
        <v>0.15872219204902649</v>
      </c>
      <c r="X74" s="5">
        <v>25.66086722</v>
      </c>
      <c r="Y74" s="5">
        <v>29.951100519000189</v>
      </c>
      <c r="Z74" s="2">
        <v>0</v>
      </c>
      <c r="AA74" s="3">
        <v>0.35644027590751648</v>
      </c>
      <c r="AB74" s="3">
        <v>2.0616258552763611E-5</v>
      </c>
      <c r="AC74" s="3">
        <v>0</v>
      </c>
      <c r="AD74" s="3">
        <v>0</v>
      </c>
      <c r="AE74" s="3">
        <v>-2.2371938390263209</v>
      </c>
      <c r="AF74" s="3">
        <v>0.90220614801101418</v>
      </c>
      <c r="AG74" s="3">
        <v>0.50773892417694899</v>
      </c>
      <c r="AH74" s="3">
        <v>0.95880600962929241</v>
      </c>
      <c r="AI74" s="3">
        <v>-2.2143485581316078</v>
      </c>
      <c r="AJ74" s="3">
        <v>0.75225969078548827</v>
      </c>
      <c r="AK74" s="3">
        <v>0.40766185148741041</v>
      </c>
      <c r="AL74" s="3">
        <v>0.88197640425067969</v>
      </c>
      <c r="AM74" s="3">
        <v>-2.4649837876007452</v>
      </c>
      <c r="AN74" s="3">
        <v>0.91672053720084423</v>
      </c>
      <c r="AO74" s="3">
        <v>0.44118725631764227</v>
      </c>
      <c r="AP74" s="3">
        <v>0.85694934752126883</v>
      </c>
      <c r="AQ74" s="3">
        <v>-2.3591733047893979</v>
      </c>
      <c r="AR74" s="3">
        <v>0.81047153257981253</v>
      </c>
      <c r="AS74" s="3">
        <v>-0.34095575832703751</v>
      </c>
      <c r="AT74" s="3">
        <v>0.80156509413684207</v>
      </c>
      <c r="AU74" s="16">
        <f t="shared" si="2"/>
        <v>-0.2720231090999452</v>
      </c>
      <c r="AV74" s="16">
        <f t="shared" si="3"/>
        <v>-2.4251667948173683E-2</v>
      </c>
    </row>
    <row r="75" spans="1:48" x14ac:dyDescent="0.25">
      <c r="A75" s="2" t="s">
        <v>46</v>
      </c>
      <c r="B75" s="2" t="s">
        <v>47</v>
      </c>
      <c r="C75" s="3">
        <v>0.01</v>
      </c>
      <c r="D75" s="3">
        <v>0.1</v>
      </c>
      <c r="E75" s="2" t="s">
        <v>54</v>
      </c>
      <c r="F75" s="3">
        <v>1</v>
      </c>
      <c r="G75" s="2" t="s">
        <v>49</v>
      </c>
      <c r="H75" s="2" t="s">
        <v>55</v>
      </c>
      <c r="I75" s="2">
        <v>195</v>
      </c>
      <c r="J75" s="2">
        <v>0</v>
      </c>
      <c r="K75" s="2">
        <v>201</v>
      </c>
      <c r="L75" s="2">
        <v>156</v>
      </c>
      <c r="M75" s="2">
        <v>0.8</v>
      </c>
      <c r="N75" s="2">
        <v>3</v>
      </c>
      <c r="O75" s="2">
        <v>1</v>
      </c>
      <c r="P75" s="2">
        <v>1652</v>
      </c>
      <c r="Q75" s="2">
        <v>49</v>
      </c>
      <c r="R75" s="4">
        <v>3.7988407611846928</v>
      </c>
      <c r="S75" s="4">
        <v>4.1523074309031172</v>
      </c>
      <c r="T75" s="4"/>
      <c r="U75" s="4"/>
      <c r="V75" s="4"/>
      <c r="W75" s="4">
        <v>0.1211089640855789</v>
      </c>
      <c r="X75" s="5">
        <v>29.957087226999871</v>
      </c>
      <c r="Y75" s="5">
        <v>70.208945631000006</v>
      </c>
      <c r="Z75" s="2">
        <v>0</v>
      </c>
      <c r="AA75" s="3">
        <v>0.18060299754142761</v>
      </c>
      <c r="AB75" s="3">
        <v>-3.2482967071700841E-7</v>
      </c>
      <c r="AC75" s="3">
        <v>0</v>
      </c>
      <c r="AD75" s="3">
        <v>0</v>
      </c>
      <c r="AE75" s="3">
        <v>-2.162538734830302</v>
      </c>
      <c r="AF75" s="3">
        <v>0.92722954992285922</v>
      </c>
      <c r="AG75" s="3">
        <v>-0.58110384038519092</v>
      </c>
      <c r="AH75" s="3">
        <v>0.1076723429205981</v>
      </c>
      <c r="AI75" s="3">
        <v>-1.429384286551195</v>
      </c>
      <c r="AJ75" s="3">
        <v>0.93342640447175695</v>
      </c>
      <c r="AK75" s="3">
        <v>-0.47497146011319308</v>
      </c>
      <c r="AL75" s="3">
        <v>0.13880880892097791</v>
      </c>
      <c r="AM75" s="3">
        <v>-2.1469852494815389</v>
      </c>
      <c r="AN75" s="3">
        <v>0.83297929758910616</v>
      </c>
      <c r="AO75" s="3">
        <v>-0.87145108871476706</v>
      </c>
      <c r="AP75" s="3">
        <v>0.1167436434043789</v>
      </c>
      <c r="AQ75" s="3">
        <v>-1.7747550640012371</v>
      </c>
      <c r="AR75" s="3">
        <v>0.28580255219768991</v>
      </c>
      <c r="AS75" s="3">
        <v>-1.1073897722428609</v>
      </c>
      <c r="AT75" s="3">
        <v>0.38331027447716609</v>
      </c>
      <c r="AU75" s="16">
        <f t="shared" si="2"/>
        <v>-0.55325800239231049</v>
      </c>
      <c r="AV75" s="16">
        <f t="shared" si="3"/>
        <v>-0.3841312177372091</v>
      </c>
    </row>
    <row r="76" spans="1:48" x14ac:dyDescent="0.25">
      <c r="A76" s="2" t="s">
        <v>46</v>
      </c>
      <c r="B76" s="2" t="s">
        <v>47</v>
      </c>
      <c r="C76" s="3">
        <v>0.01</v>
      </c>
      <c r="D76" s="3">
        <v>0.1</v>
      </c>
      <c r="E76" s="2" t="s">
        <v>54</v>
      </c>
      <c r="F76" s="3">
        <v>1</v>
      </c>
      <c r="G76" s="2" t="s">
        <v>51</v>
      </c>
      <c r="H76" s="2" t="s">
        <v>55</v>
      </c>
      <c r="I76" s="2">
        <v>195</v>
      </c>
      <c r="J76" s="2">
        <v>0</v>
      </c>
      <c r="K76" s="2">
        <v>201</v>
      </c>
      <c r="L76" s="2">
        <v>156</v>
      </c>
      <c r="M76" s="2">
        <v>0.8</v>
      </c>
      <c r="N76" s="2">
        <v>2</v>
      </c>
      <c r="O76" s="2">
        <v>1</v>
      </c>
      <c r="P76" s="2">
        <v>445</v>
      </c>
      <c r="Q76" s="2">
        <v>5</v>
      </c>
      <c r="R76" s="4">
        <v>4.1651835441589364</v>
      </c>
      <c r="S76" s="4">
        <v>6.4112965265909834</v>
      </c>
      <c r="T76" s="4"/>
      <c r="U76" s="4"/>
      <c r="V76" s="4"/>
      <c r="W76" s="4">
        <v>8.6660489439964294E-2</v>
      </c>
      <c r="X76" s="5">
        <v>25.477753446999941</v>
      </c>
      <c r="Y76" s="5">
        <v>39.70055536000018</v>
      </c>
      <c r="Z76" s="2">
        <v>0</v>
      </c>
      <c r="AA76" s="3">
        <v>4.0065782377489997E-4</v>
      </c>
      <c r="AB76" s="3">
        <v>17.161680221557621</v>
      </c>
      <c r="AC76" s="3">
        <v>0</v>
      </c>
      <c r="AD76" s="3">
        <v>0</v>
      </c>
      <c r="AE76" s="3">
        <v>-3.3093084038418601</v>
      </c>
      <c r="AF76" s="3">
        <v>0.46060365601831371</v>
      </c>
      <c r="AG76" s="3">
        <v>-0.30481594737508971</v>
      </c>
      <c r="AH76" s="3">
        <v>-1.7353964990790181</v>
      </c>
      <c r="AI76" s="3">
        <v>-3.508899678837587</v>
      </c>
      <c r="AJ76" s="3">
        <v>-1.084133691453991</v>
      </c>
      <c r="AK76" s="3">
        <v>-8.8360893573825802E-2</v>
      </c>
      <c r="AL76" s="3">
        <v>-1.8303664993291531</v>
      </c>
      <c r="AM76" s="3">
        <v>-3.3182197303489791</v>
      </c>
      <c r="AN76" s="3">
        <v>0.51988212935572931</v>
      </c>
      <c r="AO76" s="3">
        <v>-0.1505698001077351</v>
      </c>
      <c r="AP76" s="3">
        <v>-1.6881417897172319</v>
      </c>
      <c r="AQ76" s="3">
        <v>-3.2101643233455022</v>
      </c>
      <c r="AR76" s="3">
        <v>0.52290049305027209</v>
      </c>
      <c r="AS76" s="3">
        <v>5.5195323885866003E-2</v>
      </c>
      <c r="AT76" s="3">
        <v>-1.872234201287851</v>
      </c>
      <c r="AU76" s="16">
        <f t="shared" si="2"/>
        <v>-1.1260756769243039</v>
      </c>
      <c r="AV76" s="16">
        <f t="shared" si="3"/>
        <v>-1.3364772623575358</v>
      </c>
    </row>
    <row r="77" spans="1:48" x14ac:dyDescent="0.25">
      <c r="A77" s="2" t="s">
        <v>46</v>
      </c>
      <c r="B77" s="2" t="s">
        <v>47</v>
      </c>
      <c r="C77" s="3">
        <v>0.01</v>
      </c>
      <c r="D77" s="3">
        <v>0.1</v>
      </c>
      <c r="E77" s="2" t="s">
        <v>54</v>
      </c>
      <c r="F77" s="3">
        <v>1</v>
      </c>
      <c r="G77" s="2" t="s">
        <v>51</v>
      </c>
      <c r="H77" s="2" t="s">
        <v>55</v>
      </c>
      <c r="I77" s="2">
        <v>195</v>
      </c>
      <c r="J77" s="2">
        <v>0</v>
      </c>
      <c r="K77" s="2">
        <v>201</v>
      </c>
      <c r="L77" s="2">
        <v>156</v>
      </c>
      <c r="M77" s="2">
        <v>0.8</v>
      </c>
      <c r="N77" s="2">
        <v>3</v>
      </c>
      <c r="O77" s="2">
        <v>1</v>
      </c>
      <c r="P77" s="2">
        <v>60</v>
      </c>
      <c r="Q77" s="2">
        <v>2</v>
      </c>
      <c r="R77" s="4">
        <v>4.1799349784851074</v>
      </c>
      <c r="S77" s="4">
        <v>6.0126161575317383</v>
      </c>
      <c r="T77" s="4"/>
      <c r="U77" s="4"/>
      <c r="V77" s="4"/>
      <c r="W77" s="4">
        <v>3.34945693612098E-2</v>
      </c>
      <c r="X77" s="5">
        <v>18.70919550200006</v>
      </c>
      <c r="Y77" s="5">
        <v>22.651213840999841</v>
      </c>
      <c r="Z77" s="2">
        <v>0</v>
      </c>
      <c r="AA77" s="3">
        <v>4.7825306653976399E-2</v>
      </c>
      <c r="AB77" s="3">
        <v>2.553941965103149</v>
      </c>
      <c r="AC77" s="3">
        <v>0</v>
      </c>
      <c r="AD77" s="3">
        <v>0</v>
      </c>
      <c r="AE77" s="3">
        <v>-3.1813376601579662</v>
      </c>
      <c r="AF77" s="3">
        <v>0.73468484914924437</v>
      </c>
      <c r="AG77" s="3">
        <v>-0.58110384038519092</v>
      </c>
      <c r="AH77" s="3">
        <v>-0.18718044019593469</v>
      </c>
      <c r="AI77" s="3">
        <v>-3.456962842810412</v>
      </c>
      <c r="AJ77" s="3">
        <v>-0.63831295250622944</v>
      </c>
      <c r="AK77" s="3">
        <v>-0.47497146011319308</v>
      </c>
      <c r="AL77" s="3">
        <v>-0.70021487240955604</v>
      </c>
      <c r="AM77" s="3">
        <v>-3.275506535052632</v>
      </c>
      <c r="AN77" s="3">
        <v>0.5717357605447374</v>
      </c>
      <c r="AO77" s="3">
        <v>-0.87145108871476706</v>
      </c>
      <c r="AP77" s="3">
        <v>-0.68102500085917872</v>
      </c>
      <c r="AQ77" s="3">
        <v>-3.1303442180821781</v>
      </c>
      <c r="AR77" s="3">
        <v>0.68485102226136529</v>
      </c>
      <c r="AS77" s="3">
        <v>-1.1073897722428609</v>
      </c>
      <c r="AT77" s="3">
        <v>-0.28005733960226031</v>
      </c>
      <c r="AU77" s="16">
        <f t="shared" si="2"/>
        <v>-0.95823507691648357</v>
      </c>
      <c r="AV77" s="16">
        <f t="shared" si="3"/>
        <v>-1.0618038402925898</v>
      </c>
    </row>
    <row r="78" spans="1:48" x14ac:dyDescent="0.25">
      <c r="A78" s="2" t="s">
        <v>46</v>
      </c>
      <c r="B78" s="2" t="s">
        <v>47</v>
      </c>
      <c r="C78" s="3">
        <v>0.01</v>
      </c>
      <c r="D78" s="3">
        <v>0.1</v>
      </c>
      <c r="E78" s="2" t="s">
        <v>56</v>
      </c>
      <c r="F78" s="3">
        <v>1</v>
      </c>
      <c r="G78" s="2" t="s">
        <v>49</v>
      </c>
      <c r="H78" s="2" t="s">
        <v>57</v>
      </c>
      <c r="I78" s="2">
        <v>251</v>
      </c>
      <c r="J78" s="2">
        <v>0</v>
      </c>
      <c r="K78" s="2">
        <v>257</v>
      </c>
      <c r="L78" s="2">
        <v>156</v>
      </c>
      <c r="M78" s="2">
        <v>0.622</v>
      </c>
      <c r="N78" s="2">
        <v>2</v>
      </c>
      <c r="O78" s="2">
        <v>1</v>
      </c>
      <c r="P78" s="2">
        <v>16</v>
      </c>
      <c r="Q78" s="2">
        <v>1</v>
      </c>
      <c r="R78" s="4">
        <v>3.882099866867065</v>
      </c>
      <c r="S78" s="4">
        <v>5.583302815755208</v>
      </c>
      <c r="T78" s="4"/>
      <c r="U78" s="4">
        <v>5.1164636611938477</v>
      </c>
      <c r="V78" s="4"/>
      <c r="W78" s="4">
        <v>2.1506885066628401E-2</v>
      </c>
      <c r="X78" s="5">
        <v>24.257317687000072</v>
      </c>
      <c r="Y78" s="5">
        <v>21.762068333000119</v>
      </c>
      <c r="Z78" s="2">
        <v>0</v>
      </c>
      <c r="AA78" s="3">
        <v>9.30146723985672E-2</v>
      </c>
      <c r="AB78" s="3">
        <v>6.7037827102460002E-4</v>
      </c>
      <c r="AC78" s="3">
        <v>0</v>
      </c>
      <c r="AD78" s="3">
        <v>0</v>
      </c>
      <c r="AE78" s="3">
        <v>-2.5735837101454209</v>
      </c>
      <c r="AF78" s="3">
        <v>0.82820874544739498</v>
      </c>
      <c r="AG78" s="3">
        <v>-0.51114814836795719</v>
      </c>
      <c r="AH78" s="3">
        <v>-7.79392808074688E-2</v>
      </c>
      <c r="AI78" s="3">
        <v>-3.195203702824164</v>
      </c>
      <c r="AJ78" s="3">
        <v>-0.54167068420001674</v>
      </c>
      <c r="AK78" s="3">
        <v>-0.4525415072440841</v>
      </c>
      <c r="AL78" s="3">
        <v>-0.90618651361294678</v>
      </c>
      <c r="AM78" s="3">
        <v>-2.8874518142929988</v>
      </c>
      <c r="AN78" s="3">
        <v>0.87591090903008229</v>
      </c>
      <c r="AO78" s="3">
        <v>-0.80342064500974009</v>
      </c>
      <c r="AP78" s="3">
        <v>-0.52828056079014019</v>
      </c>
      <c r="AQ78" s="3">
        <v>-2.554148333571117</v>
      </c>
      <c r="AR78" s="3">
        <v>0.60096050062950468</v>
      </c>
      <c r="AS78" s="3">
        <v>-1.0021467846273839</v>
      </c>
      <c r="AT78" s="3">
        <v>-8.0146443751417606E-2</v>
      </c>
      <c r="AU78" s="16">
        <f t="shared" si="2"/>
        <v>-0.75887026533010349</v>
      </c>
      <c r="AV78" s="16">
        <f t="shared" si="3"/>
        <v>-0.89777557606812175</v>
      </c>
    </row>
    <row r="79" spans="1:48" x14ac:dyDescent="0.25">
      <c r="A79" s="2" t="s">
        <v>46</v>
      </c>
      <c r="B79" s="2" t="s">
        <v>47</v>
      </c>
      <c r="C79" s="3">
        <v>0.01</v>
      </c>
      <c r="D79" s="3">
        <v>0.1</v>
      </c>
      <c r="E79" s="2" t="s">
        <v>56</v>
      </c>
      <c r="F79" s="3">
        <v>1</v>
      </c>
      <c r="G79" s="2" t="s">
        <v>49</v>
      </c>
      <c r="H79" s="2" t="s">
        <v>57</v>
      </c>
      <c r="I79" s="2">
        <v>251</v>
      </c>
      <c r="J79" s="2">
        <v>0</v>
      </c>
      <c r="K79" s="2">
        <v>257</v>
      </c>
      <c r="L79" s="2">
        <v>156</v>
      </c>
      <c r="M79" s="2">
        <v>0.622</v>
      </c>
      <c r="N79" s="2">
        <v>3</v>
      </c>
      <c r="O79" s="2">
        <v>0</v>
      </c>
      <c r="P79" s="2">
        <v>10000</v>
      </c>
      <c r="Q79" s="2">
        <v>462</v>
      </c>
      <c r="R79" s="4">
        <v>3.447484970092773</v>
      </c>
      <c r="S79" s="4">
        <v>4.312237898508708</v>
      </c>
      <c r="T79" s="4"/>
      <c r="U79" s="4">
        <v>5.2155655225117998</v>
      </c>
      <c r="V79" s="4">
        <v>4.8056063652038574</v>
      </c>
      <c r="W79" s="4">
        <v>0.16047191619873041</v>
      </c>
      <c r="X79" s="5">
        <v>97.051953034999997</v>
      </c>
      <c r="Y79" s="5">
        <v>677.25024534800013</v>
      </c>
      <c r="Z79" s="2">
        <v>0</v>
      </c>
      <c r="AA79" s="3">
        <v>0.23692558705806729</v>
      </c>
      <c r="AB79" s="3">
        <v>-1.4527222447213719E-7</v>
      </c>
      <c r="AC79" s="3">
        <v>0</v>
      </c>
      <c r="AD79" s="3">
        <v>0</v>
      </c>
      <c r="AE79" s="3">
        <v>-1.7567406443938129</v>
      </c>
      <c r="AF79" s="3">
        <v>0.88916963256473069</v>
      </c>
      <c r="AG79" s="3">
        <v>-0.58110384038519092</v>
      </c>
      <c r="AH79" s="3">
        <v>-2.4407845717785599E-2</v>
      </c>
      <c r="AI79" s="3">
        <v>-1.9364612998862161</v>
      </c>
      <c r="AJ79" s="3">
        <v>0.71975706296233233</v>
      </c>
      <c r="AK79" s="3">
        <v>-0.47497146011319308</v>
      </c>
      <c r="AL79" s="3">
        <v>-0.33597495187761939</v>
      </c>
      <c r="AM79" s="3">
        <v>-1.8622159347018039</v>
      </c>
      <c r="AN79" s="3">
        <v>0.85688760606177028</v>
      </c>
      <c r="AO79" s="3">
        <v>-0.87145108871476706</v>
      </c>
      <c r="AP79" s="3">
        <v>0.4191391704253502</v>
      </c>
      <c r="AQ79" s="3">
        <v>-1.967273761149976</v>
      </c>
      <c r="AR79" s="3">
        <v>0.66014797158684591</v>
      </c>
      <c r="AS79" s="3">
        <v>-1.1073897722428609</v>
      </c>
      <c r="AT79" s="3">
        <v>0.46102270837620241</v>
      </c>
      <c r="AU79" s="16">
        <f t="shared" si="2"/>
        <v>-0.4883732133574471</v>
      </c>
      <c r="AV79" s="16">
        <f t="shared" si="3"/>
        <v>-0.41319779948135055</v>
      </c>
    </row>
    <row r="80" spans="1:48" x14ac:dyDescent="0.25">
      <c r="A80" s="2" t="s">
        <v>46</v>
      </c>
      <c r="B80" s="2" t="s">
        <v>47</v>
      </c>
      <c r="C80" s="3">
        <v>0.01</v>
      </c>
      <c r="D80" s="3">
        <v>0.1</v>
      </c>
      <c r="E80" s="2" t="s">
        <v>56</v>
      </c>
      <c r="F80" s="3">
        <v>1</v>
      </c>
      <c r="G80" s="2" t="s">
        <v>51</v>
      </c>
      <c r="H80" s="2" t="s">
        <v>57</v>
      </c>
      <c r="I80" s="2">
        <v>251</v>
      </c>
      <c r="J80" s="2">
        <v>0</v>
      </c>
      <c r="K80" s="2">
        <v>257</v>
      </c>
      <c r="L80" s="2">
        <v>156</v>
      </c>
      <c r="M80" s="2">
        <v>0.622</v>
      </c>
      <c r="N80" s="2">
        <v>2</v>
      </c>
      <c r="O80" s="2">
        <v>1</v>
      </c>
      <c r="P80" s="2">
        <v>146</v>
      </c>
      <c r="Q80" s="2">
        <v>1</v>
      </c>
      <c r="R80" s="4">
        <v>3.4049830436706539</v>
      </c>
      <c r="S80" s="4">
        <v>4.9195353984832764</v>
      </c>
      <c r="T80" s="4"/>
      <c r="U80" s="4"/>
      <c r="V80" s="4"/>
      <c r="W80" s="4">
        <v>2.15068832039833E-2</v>
      </c>
      <c r="X80" s="5">
        <v>25.56698993700002</v>
      </c>
      <c r="Y80" s="5">
        <v>27.915088075999851</v>
      </c>
      <c r="Z80" s="2">
        <v>0</v>
      </c>
      <c r="AA80" s="3">
        <v>9.30146723985672E-2</v>
      </c>
      <c r="AB80" s="3">
        <v>-1.5736623026896271E-7</v>
      </c>
      <c r="AC80" s="3">
        <v>0</v>
      </c>
      <c r="AD80" s="3">
        <v>0</v>
      </c>
      <c r="AE80" s="3">
        <v>-1.7903536247496921</v>
      </c>
      <c r="AF80" s="3">
        <v>0.84074597007218643</v>
      </c>
      <c r="AG80" s="3">
        <v>-0.43588984654608498</v>
      </c>
      <c r="AH80" s="3">
        <v>-0.1047152667829733</v>
      </c>
      <c r="AI80" s="3">
        <v>-2.6285594152384579</v>
      </c>
      <c r="AJ80" s="3">
        <v>-0.1188418039386074</v>
      </c>
      <c r="AK80" s="3">
        <v>-0.47958306898505998</v>
      </c>
      <c r="AL80" s="3">
        <v>-0.3466397461554771</v>
      </c>
      <c r="AM80" s="3">
        <v>-2.318170374143524</v>
      </c>
      <c r="AN80" s="3">
        <v>0.93286419139360521</v>
      </c>
      <c r="AO80" s="3">
        <v>-0.74080745524859926</v>
      </c>
      <c r="AP80" s="3">
        <v>-0.238304137735843</v>
      </c>
      <c r="AQ80" s="3">
        <v>-1.774007688548328</v>
      </c>
      <c r="AR80" s="3">
        <v>0.62814622027350775</v>
      </c>
      <c r="AS80" s="3">
        <v>-0.88280574474720619</v>
      </c>
      <c r="AT80" s="3">
        <v>0.1077396633768981</v>
      </c>
      <c r="AU80" s="16">
        <f t="shared" si="2"/>
        <v>-0.48023188741128203</v>
      </c>
      <c r="AV80" s="16">
        <f t="shared" si="3"/>
        <v>-0.61902121483821049</v>
      </c>
    </row>
    <row r="81" spans="1:48" x14ac:dyDescent="0.25">
      <c r="A81" s="2" t="s">
        <v>46</v>
      </c>
      <c r="B81" s="2" t="s">
        <v>47</v>
      </c>
      <c r="C81" s="3">
        <v>0.01</v>
      </c>
      <c r="D81" s="3">
        <v>0.1</v>
      </c>
      <c r="E81" s="2" t="s">
        <v>56</v>
      </c>
      <c r="F81" s="3">
        <v>1</v>
      </c>
      <c r="G81" s="2" t="s">
        <v>51</v>
      </c>
      <c r="H81" s="2" t="s">
        <v>57</v>
      </c>
      <c r="I81" s="2">
        <v>251</v>
      </c>
      <c r="J81" s="2">
        <v>0</v>
      </c>
      <c r="K81" s="2">
        <v>257</v>
      </c>
      <c r="L81" s="2">
        <v>156</v>
      </c>
      <c r="M81" s="2">
        <v>0.622</v>
      </c>
      <c r="N81" s="2">
        <v>3</v>
      </c>
      <c r="O81" s="2">
        <v>1</v>
      </c>
      <c r="P81" s="2">
        <v>558</v>
      </c>
      <c r="Q81" s="2">
        <v>509</v>
      </c>
      <c r="R81" s="4">
        <v>4.4472651481628418</v>
      </c>
      <c r="S81" s="4">
        <v>5.1500988006591797</v>
      </c>
      <c r="T81" s="4"/>
      <c r="U81" s="4"/>
      <c r="V81" s="4"/>
      <c r="W81" s="4">
        <v>9.7712837159633595E-2</v>
      </c>
      <c r="X81" s="5">
        <v>24.24112765000018</v>
      </c>
      <c r="Y81" s="5">
        <v>42.164098336999807</v>
      </c>
      <c r="Z81" s="2">
        <v>0</v>
      </c>
      <c r="AA81" s="3">
        <v>-3.049599399673752E-7</v>
      </c>
      <c r="AB81" s="3">
        <v>5.6636538505554199</v>
      </c>
      <c r="AC81" s="3">
        <v>0</v>
      </c>
      <c r="AD81" s="3">
        <v>0</v>
      </c>
      <c r="AE81" s="3">
        <v>-3.317576396168135</v>
      </c>
      <c r="AF81" s="3">
        <v>0.50325858990905226</v>
      </c>
      <c r="AG81" s="3">
        <v>7.9953080669251997E-2</v>
      </c>
      <c r="AH81" s="3">
        <v>-1.7353964990790181</v>
      </c>
      <c r="AI81" s="3">
        <v>-3.5161406610396249</v>
      </c>
      <c r="AJ81" s="3">
        <v>0.47396258193082452</v>
      </c>
      <c r="AK81" s="3">
        <v>-9.17832138905601E-2</v>
      </c>
      <c r="AL81" s="3">
        <v>-1.8303664993291531</v>
      </c>
      <c r="AM81" s="3">
        <v>-3.3175009600406602</v>
      </c>
      <c r="AN81" s="3">
        <v>0.57785441944384952</v>
      </c>
      <c r="AO81" s="3">
        <v>0.1112074372713739</v>
      </c>
      <c r="AP81" s="3">
        <v>-1.6881417897172319</v>
      </c>
      <c r="AQ81" s="3">
        <v>-3.2169129531212142</v>
      </c>
      <c r="AR81" s="3">
        <v>0.40066675171876059</v>
      </c>
      <c r="AS81" s="3">
        <v>-0.1212130304999445</v>
      </c>
      <c r="AT81" s="3">
        <v>-1.872234201287851</v>
      </c>
      <c r="AU81" s="16">
        <f t="shared" si="2"/>
        <v>-1.2024233582975623</v>
      </c>
      <c r="AV81" s="16">
        <f t="shared" si="3"/>
        <v>-1.1458891591700027</v>
      </c>
    </row>
    <row r="82" spans="1:48" x14ac:dyDescent="0.25">
      <c r="A82" s="2" t="s">
        <v>46</v>
      </c>
      <c r="B82" s="2" t="s">
        <v>47</v>
      </c>
      <c r="C82" s="3">
        <v>0.01</v>
      </c>
      <c r="D82" s="3">
        <v>0.3</v>
      </c>
      <c r="E82" s="2" t="s">
        <v>48</v>
      </c>
      <c r="F82" s="3">
        <v>1</v>
      </c>
      <c r="G82" s="2" t="s">
        <v>49</v>
      </c>
      <c r="H82" s="2" t="s">
        <v>50</v>
      </c>
      <c r="I82" s="2">
        <v>61</v>
      </c>
      <c r="J82" s="2">
        <v>0</v>
      </c>
      <c r="K82" s="2">
        <v>67</v>
      </c>
      <c r="L82" s="2">
        <v>156</v>
      </c>
      <c r="M82" s="2">
        <v>2.5569999999999999</v>
      </c>
      <c r="N82" s="2">
        <v>2</v>
      </c>
      <c r="O82" s="2">
        <v>1</v>
      </c>
      <c r="P82" s="2">
        <v>27</v>
      </c>
      <c r="Q82" s="2">
        <v>2</v>
      </c>
      <c r="R82" s="4">
        <v>4.3751463890075684</v>
      </c>
      <c r="S82" s="4">
        <v>6.0801839828491211</v>
      </c>
      <c r="T82" s="4"/>
      <c r="U82" s="4"/>
      <c r="V82" s="4"/>
      <c r="W82" s="4">
        <v>4.1055466979742002E-2</v>
      </c>
      <c r="X82" s="5">
        <v>14.826508758999809</v>
      </c>
      <c r="Y82" s="5">
        <v>14.57635896299962</v>
      </c>
      <c r="Z82" s="2">
        <v>0</v>
      </c>
      <c r="AA82" s="3">
        <v>3.4390781074762303E-2</v>
      </c>
      <c r="AB82" s="3">
        <v>9.0479478836059553</v>
      </c>
      <c r="AC82" s="3">
        <v>0</v>
      </c>
      <c r="AD82" s="3">
        <v>0</v>
      </c>
      <c r="AE82" s="3">
        <v>-3.252205697473936</v>
      </c>
      <c r="AF82" s="3">
        <v>0.6112404489662584</v>
      </c>
      <c r="AG82" s="3">
        <v>-0.23179528514947259</v>
      </c>
      <c r="AH82" s="3">
        <v>-1.7353964990790181</v>
      </c>
      <c r="AI82" s="3">
        <v>-3.4460768080548299</v>
      </c>
      <c r="AJ82" s="3">
        <v>-0.39937636391038711</v>
      </c>
      <c r="AK82" s="3">
        <v>-0.31404762617644888</v>
      </c>
      <c r="AL82" s="3">
        <v>-1.8303664993291531</v>
      </c>
      <c r="AM82" s="3">
        <v>-3.3027256839690531</v>
      </c>
      <c r="AN82" s="3">
        <v>0.5719930071124355</v>
      </c>
      <c r="AO82" s="3">
        <v>-0.25365536655629789</v>
      </c>
      <c r="AP82" s="3">
        <v>-1.6881417897172319</v>
      </c>
      <c r="AQ82" s="3">
        <v>-3.184087173307502</v>
      </c>
      <c r="AR82" s="3">
        <v>0.44888815807447568</v>
      </c>
      <c r="AS82" s="3">
        <v>-0.1053562976101747</v>
      </c>
      <c r="AT82" s="3">
        <v>-1.872234201287851</v>
      </c>
      <c r="AU82" s="16">
        <f t="shared" si="2"/>
        <v>-1.1781973785327629</v>
      </c>
      <c r="AV82" s="16">
        <f t="shared" si="3"/>
        <v>-1.2725461802780946</v>
      </c>
    </row>
    <row r="83" spans="1:48" x14ac:dyDescent="0.25">
      <c r="A83" s="2" t="s">
        <v>46</v>
      </c>
      <c r="B83" s="2" t="s">
        <v>47</v>
      </c>
      <c r="C83" s="3">
        <v>0.01</v>
      </c>
      <c r="D83" s="3">
        <v>0.3</v>
      </c>
      <c r="E83" s="2" t="s">
        <v>48</v>
      </c>
      <c r="F83" s="3">
        <v>1</v>
      </c>
      <c r="G83" s="2" t="s">
        <v>49</v>
      </c>
      <c r="H83" s="2" t="s">
        <v>50</v>
      </c>
      <c r="I83" s="2">
        <v>61</v>
      </c>
      <c r="J83" s="2">
        <v>0</v>
      </c>
      <c r="K83" s="2">
        <v>67</v>
      </c>
      <c r="L83" s="2">
        <v>156</v>
      </c>
      <c r="M83" s="2">
        <v>2.5569999999999999</v>
      </c>
      <c r="N83" s="2">
        <v>3</v>
      </c>
      <c r="O83" s="2">
        <v>1</v>
      </c>
      <c r="P83" s="2">
        <v>4787</v>
      </c>
      <c r="Q83" s="2">
        <v>3527</v>
      </c>
      <c r="R83" s="4">
        <v>3.5746550559997559</v>
      </c>
      <c r="S83" s="4">
        <v>4.2067366441090899</v>
      </c>
      <c r="T83" s="4"/>
      <c r="U83" s="4"/>
      <c r="V83" s="4"/>
      <c r="W83" s="4">
        <v>7.4243985116481698E-2</v>
      </c>
      <c r="X83" s="5">
        <v>46.672027997999983</v>
      </c>
      <c r="Y83" s="5">
        <v>202.76998261199969</v>
      </c>
      <c r="Z83" s="2">
        <v>0</v>
      </c>
      <c r="AA83" s="3">
        <v>0.26257500052452087</v>
      </c>
      <c r="AB83" s="3">
        <v>-1.4747183740837499E-7</v>
      </c>
      <c r="AC83" s="3">
        <v>0</v>
      </c>
      <c r="AD83" s="3">
        <v>0</v>
      </c>
      <c r="AE83" s="3">
        <v>-1.819013398524018</v>
      </c>
      <c r="AF83" s="3">
        <v>0.90664749239014397</v>
      </c>
      <c r="AG83" s="3">
        <v>-0.58110384038519092</v>
      </c>
      <c r="AH83" s="3">
        <v>0.18741378748390891</v>
      </c>
      <c r="AI83" s="3">
        <v>-1.943365200659062</v>
      </c>
      <c r="AJ83" s="3">
        <v>0.6719640522737762</v>
      </c>
      <c r="AK83" s="3">
        <v>-0.47497146011319308</v>
      </c>
      <c r="AL83" s="3">
        <v>0.16332224659677819</v>
      </c>
      <c r="AM83" s="3">
        <v>-1.763449450263803</v>
      </c>
      <c r="AN83" s="3">
        <v>0.88659083085374202</v>
      </c>
      <c r="AO83" s="3">
        <v>-0.87145108871476706</v>
      </c>
      <c r="AP83" s="3">
        <v>0.32113801616879151</v>
      </c>
      <c r="AQ83" s="3">
        <v>-2.0664292933708972</v>
      </c>
      <c r="AR83" s="3">
        <v>0.80528074078282574</v>
      </c>
      <c r="AS83" s="3">
        <v>-1.1073897722428609</v>
      </c>
      <c r="AT83" s="3">
        <v>1.22709868354655E-2</v>
      </c>
      <c r="AU83" s="16">
        <f t="shared" si="2"/>
        <v>-0.58906683449886676</v>
      </c>
      <c r="AV83" s="16">
        <f t="shared" si="3"/>
        <v>-0.3596898344077411</v>
      </c>
    </row>
    <row r="84" spans="1:48" x14ac:dyDescent="0.25">
      <c r="A84" s="2" t="s">
        <v>46</v>
      </c>
      <c r="B84" s="2" t="s">
        <v>47</v>
      </c>
      <c r="C84" s="3">
        <v>0.01</v>
      </c>
      <c r="D84" s="3">
        <v>0.3</v>
      </c>
      <c r="E84" s="2" t="s">
        <v>48</v>
      </c>
      <c r="F84" s="3">
        <v>1</v>
      </c>
      <c r="G84" s="2" t="s">
        <v>51</v>
      </c>
      <c r="H84" s="2" t="s">
        <v>50</v>
      </c>
      <c r="I84" s="2">
        <v>61</v>
      </c>
      <c r="J84" s="2">
        <v>0</v>
      </c>
      <c r="K84" s="2">
        <v>67</v>
      </c>
      <c r="L84" s="2">
        <v>156</v>
      </c>
      <c r="M84" s="2">
        <v>2.5569999999999999</v>
      </c>
      <c r="N84" s="2">
        <v>2</v>
      </c>
      <c r="O84" s="2">
        <v>1</v>
      </c>
      <c r="P84" s="2">
        <v>45</v>
      </c>
      <c r="Q84" s="2">
        <v>44</v>
      </c>
      <c r="R84" s="4">
        <v>5.5191102027893066</v>
      </c>
      <c r="S84" s="4">
        <v>6.5897291501363124</v>
      </c>
      <c r="T84" s="4"/>
      <c r="U84" s="4"/>
      <c r="V84" s="4"/>
      <c r="W84" s="4">
        <v>0.3005512654781341</v>
      </c>
      <c r="X84" s="5">
        <v>15.44513485800007</v>
      </c>
      <c r="Y84" s="5">
        <v>19.069371431999571</v>
      </c>
      <c r="Z84" s="2">
        <v>0</v>
      </c>
      <c r="AA84" s="3">
        <v>-9.7992142400471494E-8</v>
      </c>
      <c r="AB84" s="3">
        <v>6.2295498847961426</v>
      </c>
      <c r="AC84" s="3">
        <v>0</v>
      </c>
      <c r="AD84" s="3">
        <v>0</v>
      </c>
      <c r="AE84" s="3">
        <v>-3.3308673630377861</v>
      </c>
      <c r="AF84" s="3">
        <v>0.1946029988555199</v>
      </c>
      <c r="AG84" s="3">
        <v>-0.58110384038519092</v>
      </c>
      <c r="AH84" s="3">
        <v>-1.7353964990790181</v>
      </c>
      <c r="AI84" s="3">
        <v>-3.5144750531161848</v>
      </c>
      <c r="AJ84" s="3">
        <v>0.38142553895002079</v>
      </c>
      <c r="AK84" s="3">
        <v>-0.47497146011319308</v>
      </c>
      <c r="AL84" s="3">
        <v>-1.8303664993291531</v>
      </c>
      <c r="AM84" s="3">
        <v>-3.3328972343804208</v>
      </c>
      <c r="AN84" s="3">
        <v>-5.09623681839632E-2</v>
      </c>
      <c r="AO84" s="3">
        <v>-0.87145108871476706</v>
      </c>
      <c r="AP84" s="3">
        <v>-1.6881417897172319</v>
      </c>
      <c r="AQ84" s="3">
        <v>-3.2214029214604092</v>
      </c>
      <c r="AR84" s="3">
        <v>0.218449363470967</v>
      </c>
      <c r="AS84" s="3">
        <v>-1.1073897722428609</v>
      </c>
      <c r="AT84" s="3">
        <v>-1.872234201287851</v>
      </c>
      <c r="AU84" s="16">
        <f t="shared" si="2"/>
        <v>-1.4956443828800385</v>
      </c>
      <c r="AV84" s="16">
        <f t="shared" si="3"/>
        <v>-1.4028837215209478</v>
      </c>
    </row>
    <row r="85" spans="1:48" x14ac:dyDescent="0.25">
      <c r="A85" s="2" t="s">
        <v>46</v>
      </c>
      <c r="B85" s="2" t="s">
        <v>47</v>
      </c>
      <c r="C85" s="3">
        <v>0.01</v>
      </c>
      <c r="D85" s="3">
        <v>0.3</v>
      </c>
      <c r="E85" s="2" t="s">
        <v>48</v>
      </c>
      <c r="F85" s="3">
        <v>1</v>
      </c>
      <c r="G85" s="2" t="s">
        <v>51</v>
      </c>
      <c r="H85" s="2" t="s">
        <v>50</v>
      </c>
      <c r="I85" s="2">
        <v>61</v>
      </c>
      <c r="J85" s="2">
        <v>0</v>
      </c>
      <c r="K85" s="2">
        <v>67</v>
      </c>
      <c r="L85" s="2">
        <v>156</v>
      </c>
      <c r="M85" s="2">
        <v>2.5569999999999999</v>
      </c>
      <c r="N85" s="2">
        <v>3</v>
      </c>
      <c r="O85" s="2">
        <v>1</v>
      </c>
      <c r="P85" s="2">
        <v>1</v>
      </c>
      <c r="Q85" s="2"/>
      <c r="R85" s="4"/>
      <c r="S85" s="4"/>
      <c r="T85" s="4"/>
      <c r="U85" s="4"/>
      <c r="V85" s="4"/>
      <c r="W85" s="4"/>
      <c r="X85" s="5">
        <v>14.67998918100011</v>
      </c>
      <c r="Y85" s="5">
        <v>13.63660717900075</v>
      </c>
      <c r="Z85" s="2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16" t="e">
        <f t="shared" si="2"/>
        <v>#DIV/0!</v>
      </c>
      <c r="AV85" s="16" t="e">
        <f t="shared" si="3"/>
        <v>#DIV/0!</v>
      </c>
    </row>
    <row r="86" spans="1:48" x14ac:dyDescent="0.25">
      <c r="A86" s="2" t="s">
        <v>46</v>
      </c>
      <c r="B86" s="2" t="s">
        <v>47</v>
      </c>
      <c r="C86" s="3">
        <v>0.01</v>
      </c>
      <c r="D86" s="3">
        <v>0.3</v>
      </c>
      <c r="E86" s="2" t="s">
        <v>52</v>
      </c>
      <c r="F86" s="3">
        <v>1</v>
      </c>
      <c r="G86" s="2" t="s">
        <v>49</v>
      </c>
      <c r="H86" s="2" t="s">
        <v>53</v>
      </c>
      <c r="I86" s="2">
        <v>91</v>
      </c>
      <c r="J86" s="2">
        <v>0</v>
      </c>
      <c r="K86" s="2">
        <v>97</v>
      </c>
      <c r="L86" s="2">
        <v>156</v>
      </c>
      <c r="M86" s="2">
        <v>1.714</v>
      </c>
      <c r="N86" s="2">
        <v>2</v>
      </c>
      <c r="O86" s="2">
        <v>1</v>
      </c>
      <c r="P86" s="2">
        <v>1</v>
      </c>
      <c r="Q86" s="2"/>
      <c r="R86" s="4"/>
      <c r="S86" s="4"/>
      <c r="T86" s="4"/>
      <c r="U86" s="4"/>
      <c r="V86" s="4"/>
      <c r="W86" s="4"/>
      <c r="X86" s="5">
        <v>16.202103427000111</v>
      </c>
      <c r="Y86" s="5">
        <v>14.049868303000039</v>
      </c>
      <c r="Z86" s="2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16" t="e">
        <f t="shared" si="2"/>
        <v>#DIV/0!</v>
      </c>
      <c r="AV86" s="16" t="e">
        <f t="shared" si="3"/>
        <v>#DIV/0!</v>
      </c>
    </row>
    <row r="87" spans="1:48" x14ac:dyDescent="0.25">
      <c r="A87" s="2" t="s">
        <v>46</v>
      </c>
      <c r="B87" s="2" t="s">
        <v>47</v>
      </c>
      <c r="C87" s="3">
        <v>0.01</v>
      </c>
      <c r="D87" s="3">
        <v>0.3</v>
      </c>
      <c r="E87" s="2" t="s">
        <v>52</v>
      </c>
      <c r="F87" s="3">
        <v>1</v>
      </c>
      <c r="G87" s="2" t="s">
        <v>49</v>
      </c>
      <c r="H87" s="2" t="s">
        <v>53</v>
      </c>
      <c r="I87" s="2">
        <v>91</v>
      </c>
      <c r="J87" s="2">
        <v>0</v>
      </c>
      <c r="K87" s="2">
        <v>97</v>
      </c>
      <c r="L87" s="2">
        <v>156</v>
      </c>
      <c r="M87" s="2">
        <v>1.714</v>
      </c>
      <c r="N87" s="2">
        <v>3</v>
      </c>
      <c r="O87" s="2">
        <v>1</v>
      </c>
      <c r="P87" s="2">
        <v>71</v>
      </c>
      <c r="Q87" s="2">
        <v>2</v>
      </c>
      <c r="R87" s="4">
        <v>3.4392318725585942</v>
      </c>
      <c r="S87" s="4">
        <v>6.0965309143066406</v>
      </c>
      <c r="T87" s="4"/>
      <c r="U87" s="4"/>
      <c r="V87" s="4"/>
      <c r="W87" s="4">
        <v>3.72554473578929E-2</v>
      </c>
      <c r="X87" s="5">
        <v>16.72724604199993</v>
      </c>
      <c r="Y87" s="5">
        <v>20.052856340000289</v>
      </c>
      <c r="Z87" s="2">
        <v>0</v>
      </c>
      <c r="AA87" s="3">
        <v>0.10554859042167659</v>
      </c>
      <c r="AB87" s="3">
        <v>4.9007124900817871</v>
      </c>
      <c r="AC87" s="3">
        <v>0</v>
      </c>
      <c r="AD87" s="3">
        <v>0</v>
      </c>
      <c r="AE87" s="3">
        <v>-3.1467478190356521</v>
      </c>
      <c r="AF87" s="3">
        <v>0.73059693303281692</v>
      </c>
      <c r="AG87" s="3">
        <v>-0.26969696523214298</v>
      </c>
      <c r="AH87" s="3">
        <v>-2.2690271295203801</v>
      </c>
      <c r="AI87" s="3">
        <v>-3.4081635243027759</v>
      </c>
      <c r="AJ87" s="3">
        <v>-0.56794732245110024</v>
      </c>
      <c r="AK87" s="3">
        <v>-0.4166619678113026</v>
      </c>
      <c r="AL87" s="3">
        <v>-1.220290771254076</v>
      </c>
      <c r="AM87" s="3">
        <v>-3.2610457057625579</v>
      </c>
      <c r="AN87" s="3">
        <v>0.262921251948115</v>
      </c>
      <c r="AO87" s="3">
        <v>-0.51184435252082783</v>
      </c>
      <c r="AP87" s="3">
        <v>-4.6418030786282899E-2</v>
      </c>
      <c r="AQ87" s="3">
        <v>-3.1043086081225582</v>
      </c>
      <c r="AR87" s="3">
        <v>0.81929790633085753</v>
      </c>
      <c r="AS87" s="3">
        <v>-0.43907245866623668</v>
      </c>
      <c r="AT87" s="3">
        <v>-0.2868524935212764</v>
      </c>
      <c r="AU87" s="16">
        <f t="shared" si="2"/>
        <v>-0.75273391349480334</v>
      </c>
      <c r="AV87" s="16">
        <f t="shared" si="3"/>
        <v>-1.1770271169746807</v>
      </c>
    </row>
    <row r="88" spans="1:48" x14ac:dyDescent="0.25">
      <c r="A88" s="2" t="s">
        <v>46</v>
      </c>
      <c r="B88" s="2" t="s">
        <v>47</v>
      </c>
      <c r="C88" s="3">
        <v>0.01</v>
      </c>
      <c r="D88" s="3">
        <v>0.3</v>
      </c>
      <c r="E88" s="2" t="s">
        <v>52</v>
      </c>
      <c r="F88" s="3">
        <v>1</v>
      </c>
      <c r="G88" s="2" t="s">
        <v>51</v>
      </c>
      <c r="H88" s="2" t="s">
        <v>53</v>
      </c>
      <c r="I88" s="2">
        <v>91</v>
      </c>
      <c r="J88" s="2">
        <v>0</v>
      </c>
      <c r="K88" s="2">
        <v>97</v>
      </c>
      <c r="L88" s="2">
        <v>156</v>
      </c>
      <c r="M88" s="2">
        <v>1.714</v>
      </c>
      <c r="N88" s="2">
        <v>2</v>
      </c>
      <c r="O88" s="2">
        <v>1</v>
      </c>
      <c r="P88" s="2">
        <v>1312</v>
      </c>
      <c r="Q88" s="2">
        <v>1311</v>
      </c>
      <c r="R88" s="4">
        <v>4.7844338417053223</v>
      </c>
      <c r="S88" s="4">
        <v>5.3813905715942383</v>
      </c>
      <c r="T88" s="4"/>
      <c r="U88" s="4"/>
      <c r="V88" s="4"/>
      <c r="W88" s="4">
        <v>9.45630073547363E-2</v>
      </c>
      <c r="X88" s="5">
        <v>25.824771291999699</v>
      </c>
      <c r="Y88" s="5">
        <v>54.287954776999868</v>
      </c>
      <c r="Z88" s="2">
        <v>0</v>
      </c>
      <c r="AA88" s="3">
        <v>5.2132852375507299E-2</v>
      </c>
      <c r="AB88" s="3">
        <v>0.92019748687744141</v>
      </c>
      <c r="AC88" s="3">
        <v>0</v>
      </c>
      <c r="AD88" s="3">
        <v>0</v>
      </c>
      <c r="AE88" s="3">
        <v>-3.101265294873758</v>
      </c>
      <c r="AF88" s="3">
        <v>0.63936370064813874</v>
      </c>
      <c r="AG88" s="3">
        <v>-0.34940494590597759</v>
      </c>
      <c r="AH88" s="3">
        <v>-1.7353964990790181</v>
      </c>
      <c r="AI88" s="3">
        <v>-3.1514438475376192</v>
      </c>
      <c r="AJ88" s="3">
        <v>0.87568893369254741</v>
      </c>
      <c r="AK88" s="3">
        <v>-0.124649169465431</v>
      </c>
      <c r="AL88" s="3">
        <v>-1.8303664993291531</v>
      </c>
      <c r="AM88" s="3">
        <v>-3.238755808909628</v>
      </c>
      <c r="AN88" s="3">
        <v>0.60981115859240109</v>
      </c>
      <c r="AO88" s="3">
        <v>-0.73072236922392286</v>
      </c>
      <c r="AP88" s="3">
        <v>-1.6881417897172319</v>
      </c>
      <c r="AQ88" s="3">
        <v>-3.084339924037069</v>
      </c>
      <c r="AR88" s="3">
        <v>0.7367136467551515</v>
      </c>
      <c r="AS88" s="3">
        <v>-0.90758253725181037</v>
      </c>
      <c r="AT88" s="3">
        <v>-1.872234201287851</v>
      </c>
      <c r="AU88" s="16">
        <f t="shared" si="2"/>
        <v>-1.2818607539553946</v>
      </c>
      <c r="AV88" s="16">
        <f t="shared" si="3"/>
        <v>-1.1521068692590541</v>
      </c>
    </row>
    <row r="89" spans="1:48" x14ac:dyDescent="0.25">
      <c r="A89" s="2" t="s">
        <v>46</v>
      </c>
      <c r="B89" s="2" t="s">
        <v>47</v>
      </c>
      <c r="C89" s="3">
        <v>0.01</v>
      </c>
      <c r="D89" s="3">
        <v>0.3</v>
      </c>
      <c r="E89" s="2" t="s">
        <v>52</v>
      </c>
      <c r="F89" s="3">
        <v>1</v>
      </c>
      <c r="G89" s="2" t="s">
        <v>51</v>
      </c>
      <c r="H89" s="2" t="s">
        <v>53</v>
      </c>
      <c r="I89" s="2">
        <v>91</v>
      </c>
      <c r="J89" s="2">
        <v>0</v>
      </c>
      <c r="K89" s="2">
        <v>97</v>
      </c>
      <c r="L89" s="2">
        <v>156</v>
      </c>
      <c r="M89" s="2">
        <v>1.714</v>
      </c>
      <c r="N89" s="2">
        <v>3</v>
      </c>
      <c r="O89" s="2">
        <v>1</v>
      </c>
      <c r="P89" s="2">
        <v>92</v>
      </c>
      <c r="Q89" s="2">
        <v>2</v>
      </c>
      <c r="R89" s="4">
        <v>3.8013908863067618</v>
      </c>
      <c r="S89" s="4">
        <v>4.6126852830251046</v>
      </c>
      <c r="T89" s="4"/>
      <c r="U89" s="4"/>
      <c r="V89" s="4"/>
      <c r="W89" s="4">
        <v>4.0945190936326897E-2</v>
      </c>
      <c r="X89" s="5">
        <v>16.996418078999799</v>
      </c>
      <c r="Y89" s="5">
        <v>16.978533956999851</v>
      </c>
      <c r="Z89" s="2">
        <v>0</v>
      </c>
      <c r="AA89" s="3">
        <v>0.12982995808124539</v>
      </c>
      <c r="AB89" s="3">
        <v>2.683632774278E-4</v>
      </c>
      <c r="AC89" s="3">
        <v>0</v>
      </c>
      <c r="AD89" s="3">
        <v>0</v>
      </c>
      <c r="AE89" s="3">
        <v>-2.6814301452351041</v>
      </c>
      <c r="AF89" s="3">
        <v>0.61668512220981175</v>
      </c>
      <c r="AG89" s="3">
        <v>-0.44843638580010298</v>
      </c>
      <c r="AH89" s="3">
        <v>0.27913084377557168</v>
      </c>
      <c r="AI89" s="3">
        <v>-3.0094092283851879</v>
      </c>
      <c r="AJ89" s="3">
        <v>0.53263613055881331</v>
      </c>
      <c r="AK89" s="3">
        <v>-0.43716005758831761</v>
      </c>
      <c r="AL89" s="3">
        <v>-5.0433014968413997E-3</v>
      </c>
      <c r="AM89" s="3">
        <v>-3.0267715105164119</v>
      </c>
      <c r="AN89" s="3">
        <v>0.88443110962158134</v>
      </c>
      <c r="AO89" s="3">
        <v>-0.77633885308439532</v>
      </c>
      <c r="AP89" s="3">
        <v>0.16926053441551789</v>
      </c>
      <c r="AQ89" s="3">
        <v>-2.7593852657751441</v>
      </c>
      <c r="AR89" s="3">
        <v>0.25557814173878579</v>
      </c>
      <c r="AS89" s="3">
        <v>-0.90865478805766275</v>
      </c>
      <c r="AT89" s="3">
        <v>0.6706141135821726</v>
      </c>
      <c r="AU89" s="16">
        <f t="shared" si="2"/>
        <v>-0.68546194962796214</v>
      </c>
      <c r="AV89" s="16">
        <f t="shared" si="3"/>
        <v>-0.65853714512708883</v>
      </c>
    </row>
    <row r="90" spans="1:48" x14ac:dyDescent="0.25">
      <c r="A90" s="2" t="s">
        <v>46</v>
      </c>
      <c r="B90" s="2" t="s">
        <v>47</v>
      </c>
      <c r="C90" s="3">
        <v>0.01</v>
      </c>
      <c r="D90" s="3">
        <v>0.3</v>
      </c>
      <c r="E90" s="2" t="s">
        <v>54</v>
      </c>
      <c r="F90" s="3">
        <v>1</v>
      </c>
      <c r="G90" s="2" t="s">
        <v>49</v>
      </c>
      <c r="H90" s="2" t="s">
        <v>55</v>
      </c>
      <c r="I90" s="2">
        <v>195</v>
      </c>
      <c r="J90" s="2">
        <v>0</v>
      </c>
      <c r="K90" s="2">
        <v>201</v>
      </c>
      <c r="L90" s="2">
        <v>156</v>
      </c>
      <c r="M90" s="2">
        <v>0.8</v>
      </c>
      <c r="N90" s="2">
        <v>2</v>
      </c>
      <c r="O90" s="2">
        <v>0</v>
      </c>
      <c r="P90" s="2">
        <v>10000</v>
      </c>
      <c r="Q90" s="2">
        <v>110</v>
      </c>
      <c r="R90" s="4">
        <v>4.0261168479919434</v>
      </c>
      <c r="S90" s="4">
        <v>5.2919541994730643</v>
      </c>
      <c r="T90" s="4"/>
      <c r="U90" s="4">
        <v>5.4964966773986816</v>
      </c>
      <c r="V90" s="4">
        <v>5.1207289695739746</v>
      </c>
      <c r="W90" s="4">
        <v>0.1137254610657692</v>
      </c>
      <c r="X90" s="5">
        <v>88.587481683000078</v>
      </c>
      <c r="Y90" s="5">
        <v>357.45800321899969</v>
      </c>
      <c r="Z90" s="2">
        <v>0</v>
      </c>
      <c r="AA90" s="3">
        <v>0.26066118478775019</v>
      </c>
      <c r="AB90" s="3">
        <v>1.038401248142892E-16</v>
      </c>
      <c r="AC90" s="3">
        <v>0</v>
      </c>
      <c r="AD90" s="3">
        <v>0</v>
      </c>
      <c r="AE90" s="3">
        <v>-2.0622011039590342</v>
      </c>
      <c r="AF90" s="3">
        <v>0.90223729880826864</v>
      </c>
      <c r="AG90" s="3">
        <v>8.2574472840989704E-2</v>
      </c>
      <c r="AH90" s="3">
        <v>-1.7353964990790181</v>
      </c>
      <c r="AI90" s="3">
        <v>-1.675970300387887</v>
      </c>
      <c r="AJ90" s="3">
        <v>0.95317515869411085</v>
      </c>
      <c r="AK90" s="3">
        <v>-1.640773892754227</v>
      </c>
      <c r="AL90" s="3">
        <v>-1.8303664993291531</v>
      </c>
      <c r="AM90" s="3">
        <v>-2.351988241045555</v>
      </c>
      <c r="AN90" s="3">
        <v>0.94141387064634496</v>
      </c>
      <c r="AO90" s="3">
        <v>5.9166027968854902E-2</v>
      </c>
      <c r="AP90" s="3">
        <v>-1.6881417897172319</v>
      </c>
      <c r="AQ90" s="3">
        <v>-1.916598445960517</v>
      </c>
      <c r="AR90" s="3">
        <v>0.4915991127764226</v>
      </c>
      <c r="AS90" s="3">
        <v>-0.20121818149966869</v>
      </c>
      <c r="AT90" s="3">
        <v>-1.872234201287851</v>
      </c>
      <c r="AU90" s="16">
        <f t="shared" si="2"/>
        <v>-0.87461292899290355</v>
      </c>
      <c r="AV90" s="16">
        <f t="shared" si="3"/>
        <v>-0.83718929144279475</v>
      </c>
    </row>
    <row r="91" spans="1:48" x14ac:dyDescent="0.25">
      <c r="A91" s="2" t="s">
        <v>46</v>
      </c>
      <c r="B91" s="2" t="s">
        <v>47</v>
      </c>
      <c r="C91" s="3">
        <v>0.01</v>
      </c>
      <c r="D91" s="3">
        <v>0.3</v>
      </c>
      <c r="E91" s="2" t="s">
        <v>54</v>
      </c>
      <c r="F91" s="3">
        <v>1</v>
      </c>
      <c r="G91" s="2" t="s">
        <v>49</v>
      </c>
      <c r="H91" s="2" t="s">
        <v>55</v>
      </c>
      <c r="I91" s="2">
        <v>195</v>
      </c>
      <c r="J91" s="2">
        <v>0</v>
      </c>
      <c r="K91" s="2">
        <v>201</v>
      </c>
      <c r="L91" s="2">
        <v>156</v>
      </c>
      <c r="M91" s="2">
        <v>0.8</v>
      </c>
      <c r="N91" s="2">
        <v>3</v>
      </c>
      <c r="O91" s="2">
        <v>1</v>
      </c>
      <c r="P91" s="2">
        <v>54</v>
      </c>
      <c r="Q91" s="2">
        <v>1</v>
      </c>
      <c r="R91" s="4">
        <v>3.8881955146789551</v>
      </c>
      <c r="S91" s="4">
        <v>6.8057128588358564</v>
      </c>
      <c r="T91" s="4"/>
      <c r="U91" s="4"/>
      <c r="V91" s="4"/>
      <c r="W91" s="4">
        <v>2.1506885066628401E-2</v>
      </c>
      <c r="X91" s="5">
        <v>18.21841413799984</v>
      </c>
      <c r="Y91" s="5">
        <v>22.043194732000309</v>
      </c>
      <c r="Z91" s="2">
        <v>0</v>
      </c>
      <c r="AA91" s="3">
        <v>0.10380358994007111</v>
      </c>
      <c r="AB91" s="3">
        <v>7.8247957229614258</v>
      </c>
      <c r="AC91" s="3">
        <v>0</v>
      </c>
      <c r="AD91" s="3">
        <v>0</v>
      </c>
      <c r="AE91" s="3">
        <v>-3.1308807466733839</v>
      </c>
      <c r="AF91" s="3">
        <v>0.54664555095426925</v>
      </c>
      <c r="AG91" s="3">
        <v>-0.44694266457380299</v>
      </c>
      <c r="AH91" s="3">
        <v>-0.61468715897487924</v>
      </c>
      <c r="AI91" s="3">
        <v>-3.4255858736245921</v>
      </c>
      <c r="AJ91" s="3">
        <v>-1.4009124886826141</v>
      </c>
      <c r="AK91" s="3">
        <v>-0.372580094084981</v>
      </c>
      <c r="AL91" s="3">
        <v>-1.1377976628488631</v>
      </c>
      <c r="AM91" s="3">
        <v>-3.247787383417462</v>
      </c>
      <c r="AN91" s="3">
        <v>-0.1209664809067714</v>
      </c>
      <c r="AO91" s="3">
        <v>-0.65179194737377921</v>
      </c>
      <c r="AP91" s="3">
        <v>-1.145822654425465</v>
      </c>
      <c r="AQ91" s="3">
        <v>-3.073940187570396</v>
      </c>
      <c r="AR91" s="3">
        <v>0.80746723760060657</v>
      </c>
      <c r="AS91" s="3">
        <v>-0.63637021842125474</v>
      </c>
      <c r="AT91" s="3">
        <v>-0.7896306839745566</v>
      </c>
      <c r="AU91" s="16">
        <f t="shared" si="2"/>
        <v>-0.92311846309140022</v>
      </c>
      <c r="AV91" s="16">
        <f t="shared" si="3"/>
        <v>-1.2624258003860269</v>
      </c>
    </row>
    <row r="92" spans="1:48" x14ac:dyDescent="0.25">
      <c r="A92" s="2" t="s">
        <v>46</v>
      </c>
      <c r="B92" s="2" t="s">
        <v>47</v>
      </c>
      <c r="C92" s="3">
        <v>0.01</v>
      </c>
      <c r="D92" s="3">
        <v>0.3</v>
      </c>
      <c r="E92" s="2" t="s">
        <v>54</v>
      </c>
      <c r="F92" s="3">
        <v>1</v>
      </c>
      <c r="G92" s="2" t="s">
        <v>51</v>
      </c>
      <c r="H92" s="2" t="s">
        <v>55</v>
      </c>
      <c r="I92" s="2">
        <v>195</v>
      </c>
      <c r="J92" s="2">
        <v>0</v>
      </c>
      <c r="K92" s="2">
        <v>201</v>
      </c>
      <c r="L92" s="2">
        <v>156</v>
      </c>
      <c r="M92" s="2">
        <v>0.8</v>
      </c>
      <c r="N92" s="2">
        <v>2</v>
      </c>
      <c r="O92" s="2">
        <v>1</v>
      </c>
      <c r="P92" s="2">
        <v>1273</v>
      </c>
      <c r="Q92" s="2">
        <v>4</v>
      </c>
      <c r="R92" s="4">
        <v>4.2215642929077148</v>
      </c>
      <c r="S92" s="4">
        <v>6.6005086898803711</v>
      </c>
      <c r="T92" s="4"/>
      <c r="U92" s="4"/>
      <c r="V92" s="4"/>
      <c r="W92" s="4">
        <v>7.0785172283649403E-2</v>
      </c>
      <c r="X92" s="5">
        <v>26.556710789000132</v>
      </c>
      <c r="Y92" s="5">
        <v>63.281850178000241</v>
      </c>
      <c r="Z92" s="2">
        <v>0</v>
      </c>
      <c r="AA92" s="3">
        <v>1.8383256974630001E-4</v>
      </c>
      <c r="AB92" s="3">
        <v>19.08621978759766</v>
      </c>
      <c r="AC92" s="3">
        <v>0</v>
      </c>
      <c r="AD92" s="3">
        <v>0</v>
      </c>
      <c r="AE92" s="3">
        <v>-3.312822490059856</v>
      </c>
      <c r="AF92" s="3">
        <v>0.3326059086456683</v>
      </c>
      <c r="AG92" s="3">
        <v>-1.8860880386479501E-2</v>
      </c>
      <c r="AH92" s="3">
        <v>-1.7353964990790181</v>
      </c>
      <c r="AI92" s="3">
        <v>-3.511450833725966</v>
      </c>
      <c r="AJ92" s="3">
        <v>-1.467997928846061</v>
      </c>
      <c r="AK92" s="3">
        <v>-0.1660913435590754</v>
      </c>
      <c r="AL92" s="3">
        <v>-1.8303664993291531</v>
      </c>
      <c r="AM92" s="3">
        <v>-3.3209335187555551</v>
      </c>
      <c r="AN92" s="3">
        <v>0.36562975973603368</v>
      </c>
      <c r="AO92" s="3">
        <v>-6.5181897054933297E-2</v>
      </c>
      <c r="AP92" s="3">
        <v>-1.6881417897172319</v>
      </c>
      <c r="AQ92" s="3">
        <v>-3.2115924346356932</v>
      </c>
      <c r="AR92" s="3">
        <v>0.5065147633345557</v>
      </c>
      <c r="AS92" s="3">
        <v>1.11663949638088E-2</v>
      </c>
      <c r="AT92" s="3">
        <v>-1.872234201287851</v>
      </c>
      <c r="AU92" s="16">
        <f t="shared" si="2"/>
        <v>-1.1415363694062948</v>
      </c>
      <c r="AV92" s="16">
        <f t="shared" si="3"/>
        <v>-1.3682506676776356</v>
      </c>
    </row>
    <row r="93" spans="1:48" x14ac:dyDescent="0.25">
      <c r="A93" s="2" t="s">
        <v>46</v>
      </c>
      <c r="B93" s="2" t="s">
        <v>47</v>
      </c>
      <c r="C93" s="3">
        <v>0.01</v>
      </c>
      <c r="D93" s="3">
        <v>0.3</v>
      </c>
      <c r="E93" s="2" t="s">
        <v>54</v>
      </c>
      <c r="F93" s="3">
        <v>1</v>
      </c>
      <c r="G93" s="2" t="s">
        <v>51</v>
      </c>
      <c r="H93" s="2" t="s">
        <v>55</v>
      </c>
      <c r="I93" s="2">
        <v>195</v>
      </c>
      <c r="J93" s="2">
        <v>0</v>
      </c>
      <c r="K93" s="2">
        <v>201</v>
      </c>
      <c r="L93" s="2">
        <v>156</v>
      </c>
      <c r="M93" s="2">
        <v>0.8</v>
      </c>
      <c r="N93" s="2">
        <v>3</v>
      </c>
      <c r="O93" s="2">
        <v>1</v>
      </c>
      <c r="P93" s="2">
        <v>447</v>
      </c>
      <c r="Q93" s="2">
        <v>1</v>
      </c>
      <c r="R93" s="4">
        <v>3.5267958641052251</v>
      </c>
      <c r="S93" s="4">
        <v>5.6207834879557286</v>
      </c>
      <c r="T93" s="4"/>
      <c r="U93" s="4"/>
      <c r="V93" s="4"/>
      <c r="W93" s="4">
        <v>2.1506885066628401E-2</v>
      </c>
      <c r="X93" s="5">
        <v>21.099556922999909</v>
      </c>
      <c r="Y93" s="5">
        <v>36.475862448000044</v>
      </c>
      <c r="Z93" s="2">
        <v>0</v>
      </c>
      <c r="AA93" s="3">
        <v>0.1070707142353057</v>
      </c>
      <c r="AB93" s="3">
        <v>0.4134602546691894</v>
      </c>
      <c r="AC93" s="3">
        <v>0</v>
      </c>
      <c r="AD93" s="3">
        <v>0</v>
      </c>
      <c r="AE93" s="3">
        <v>-2.9711203202924339</v>
      </c>
      <c r="AF93" s="3">
        <v>0.80688154683463509</v>
      </c>
      <c r="AG93" s="3">
        <v>-0.4331739658099456</v>
      </c>
      <c r="AH93" s="3">
        <v>-0.53693309494478014</v>
      </c>
      <c r="AI93" s="3">
        <v>-3.3416437126060439</v>
      </c>
      <c r="AJ93" s="3">
        <v>-0.57914938384681358</v>
      </c>
      <c r="AK93" s="3">
        <v>-0.41945922676985931</v>
      </c>
      <c r="AL93" s="3">
        <v>-0.12631451599395069</v>
      </c>
      <c r="AM93" s="3">
        <v>-3.1774626971154718</v>
      </c>
      <c r="AN93" s="3">
        <v>0.53682454550090408</v>
      </c>
      <c r="AO93" s="3">
        <v>-0.72938595564899789</v>
      </c>
      <c r="AP93" s="3">
        <v>-0.23886653532426511</v>
      </c>
      <c r="AQ93" s="3">
        <v>-2.949581795986953</v>
      </c>
      <c r="AR93" s="3">
        <v>0.82969547071713823</v>
      </c>
      <c r="AS93" s="3">
        <v>-0.81037027511294157</v>
      </c>
      <c r="AT93" s="3">
        <v>6.7812487574869296E-2</v>
      </c>
      <c r="AU93" s="16">
        <f t="shared" si="2"/>
        <v>-0.71561102820197176</v>
      </c>
      <c r="AV93" s="16">
        <f t="shared" si="3"/>
        <v>-0.93415027633475178</v>
      </c>
    </row>
    <row r="94" spans="1:48" x14ac:dyDescent="0.25">
      <c r="A94" s="2" t="s">
        <v>46</v>
      </c>
      <c r="B94" s="2" t="s">
        <v>47</v>
      </c>
      <c r="C94" s="3">
        <v>0.01</v>
      </c>
      <c r="D94" s="3">
        <v>0.3</v>
      </c>
      <c r="E94" s="2" t="s">
        <v>56</v>
      </c>
      <c r="F94" s="3">
        <v>1</v>
      </c>
      <c r="G94" s="2" t="s">
        <v>49</v>
      </c>
      <c r="H94" s="2" t="s">
        <v>57</v>
      </c>
      <c r="I94" s="2">
        <v>251</v>
      </c>
      <c r="J94" s="2">
        <v>0</v>
      </c>
      <c r="K94" s="2">
        <v>257</v>
      </c>
      <c r="L94" s="2">
        <v>156</v>
      </c>
      <c r="M94" s="2">
        <v>0.622</v>
      </c>
      <c r="N94" s="2">
        <v>2</v>
      </c>
      <c r="O94" s="2">
        <v>1</v>
      </c>
      <c r="P94" s="2">
        <v>1</v>
      </c>
      <c r="Q94" s="2"/>
      <c r="R94" s="4"/>
      <c r="S94" s="4"/>
      <c r="T94" s="4"/>
      <c r="U94" s="4"/>
      <c r="V94" s="4"/>
      <c r="W94" s="4"/>
      <c r="X94" s="5">
        <v>19.700407383000311</v>
      </c>
      <c r="Y94" s="5">
        <v>17.33890251299999</v>
      </c>
      <c r="Z94" s="2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16" t="e">
        <f t="shared" si="2"/>
        <v>#DIV/0!</v>
      </c>
      <c r="AV94" s="16" t="e">
        <f t="shared" si="3"/>
        <v>#DIV/0!</v>
      </c>
    </row>
    <row r="95" spans="1:48" x14ac:dyDescent="0.25">
      <c r="A95" s="2" t="s">
        <v>46</v>
      </c>
      <c r="B95" s="2" t="s">
        <v>47</v>
      </c>
      <c r="C95" s="3">
        <v>0.01</v>
      </c>
      <c r="D95" s="3">
        <v>0.3</v>
      </c>
      <c r="E95" s="2" t="s">
        <v>56</v>
      </c>
      <c r="F95" s="3">
        <v>1</v>
      </c>
      <c r="G95" s="2" t="s">
        <v>49</v>
      </c>
      <c r="H95" s="2" t="s">
        <v>57</v>
      </c>
      <c r="I95" s="2">
        <v>251</v>
      </c>
      <c r="J95" s="2">
        <v>0</v>
      </c>
      <c r="K95" s="2">
        <v>257</v>
      </c>
      <c r="L95" s="2">
        <v>156</v>
      </c>
      <c r="M95" s="2">
        <v>0.622</v>
      </c>
      <c r="N95" s="2">
        <v>3</v>
      </c>
      <c r="O95" s="2">
        <v>1</v>
      </c>
      <c r="P95" s="2">
        <v>4491</v>
      </c>
      <c r="Q95" s="2">
        <v>3</v>
      </c>
      <c r="R95" s="4">
        <v>4.2710456848144531</v>
      </c>
      <c r="S95" s="4">
        <v>5.8577059110005694</v>
      </c>
      <c r="T95" s="4"/>
      <c r="U95" s="4"/>
      <c r="V95" s="4"/>
      <c r="W95" s="4">
        <v>4.9517009407281799E-2</v>
      </c>
      <c r="X95" s="5">
        <v>52.452990096000121</v>
      </c>
      <c r="Y95" s="5">
        <v>175.77199383700011</v>
      </c>
      <c r="Z95" s="2">
        <v>0</v>
      </c>
      <c r="AA95" s="3">
        <v>4.9215175211429499E-2</v>
      </c>
      <c r="AB95" s="3">
        <v>4.3633203506469727</v>
      </c>
      <c r="AC95" s="3">
        <v>0</v>
      </c>
      <c r="AD95" s="3">
        <v>0</v>
      </c>
      <c r="AE95" s="3">
        <v>-3.209687924256686</v>
      </c>
      <c r="AF95" s="3">
        <v>0.71817428639747705</v>
      </c>
      <c r="AG95" s="3">
        <v>-0.2784093958724323</v>
      </c>
      <c r="AH95" s="3">
        <v>-0.98229342279051757</v>
      </c>
      <c r="AI95" s="3">
        <v>-3.441706037734118</v>
      </c>
      <c r="AJ95" s="3">
        <v>-0.2384378913844758</v>
      </c>
      <c r="AK95" s="3">
        <v>-0.29934914406183388</v>
      </c>
      <c r="AL95" s="3">
        <v>-1.254352349819867</v>
      </c>
      <c r="AM95" s="3">
        <v>-3.2889171103779851</v>
      </c>
      <c r="AN95" s="3">
        <v>0.41012626967255278</v>
      </c>
      <c r="AO95" s="3">
        <v>-0.64224880072316282</v>
      </c>
      <c r="AP95" s="3">
        <v>-1.3725304505252831</v>
      </c>
      <c r="AQ95" s="3">
        <v>-3.1517877314909142</v>
      </c>
      <c r="AR95" s="3">
        <v>0.729578033922479</v>
      </c>
      <c r="AS95" s="3">
        <v>-0.68205710781165418</v>
      </c>
      <c r="AT95" s="3">
        <v>-1.2399541935280189</v>
      </c>
      <c r="AU95" s="16">
        <f t="shared" si="2"/>
        <v>-1.086055249727027</v>
      </c>
      <c r="AV95" s="16">
        <f t="shared" si="3"/>
        <v>-1.1566359976230276</v>
      </c>
    </row>
    <row r="96" spans="1:48" x14ac:dyDescent="0.25">
      <c r="A96" s="2" t="s">
        <v>46</v>
      </c>
      <c r="B96" s="2" t="s">
        <v>47</v>
      </c>
      <c r="C96" s="3">
        <v>0.01</v>
      </c>
      <c r="D96" s="3">
        <v>0.3</v>
      </c>
      <c r="E96" s="2" t="s">
        <v>56</v>
      </c>
      <c r="F96" s="3">
        <v>1</v>
      </c>
      <c r="G96" s="2" t="s">
        <v>51</v>
      </c>
      <c r="H96" s="2" t="s">
        <v>57</v>
      </c>
      <c r="I96" s="2">
        <v>251</v>
      </c>
      <c r="J96" s="2">
        <v>0</v>
      </c>
      <c r="K96" s="2">
        <v>257</v>
      </c>
      <c r="L96" s="2">
        <v>156</v>
      </c>
      <c r="M96" s="2">
        <v>0.622</v>
      </c>
      <c r="N96" s="2">
        <v>2</v>
      </c>
      <c r="O96" s="2">
        <v>1</v>
      </c>
      <c r="P96" s="2">
        <v>2</v>
      </c>
      <c r="Q96" s="2">
        <v>1</v>
      </c>
      <c r="R96" s="4">
        <v>3.8327455520629878</v>
      </c>
      <c r="S96" s="4">
        <v>5.1315340995788574</v>
      </c>
      <c r="T96" s="4"/>
      <c r="U96" s="4"/>
      <c r="V96" s="4"/>
      <c r="W96" s="4">
        <v>2.1506885066628401E-2</v>
      </c>
      <c r="X96" s="5">
        <v>19.953077832999949</v>
      </c>
      <c r="Y96" s="5">
        <v>19.729131899999629</v>
      </c>
      <c r="Z96" s="2">
        <v>0</v>
      </c>
      <c r="AA96" s="3">
        <v>0.1070707142353057</v>
      </c>
      <c r="AB96" s="3">
        <v>-2.9804959922330449E-7</v>
      </c>
      <c r="AC96" s="3">
        <v>0</v>
      </c>
      <c r="AD96" s="3">
        <v>0</v>
      </c>
      <c r="AE96" s="3">
        <v>-1.9678047950064379</v>
      </c>
      <c r="AF96" s="3">
        <v>0.8538739326871978</v>
      </c>
      <c r="AG96" s="3">
        <v>-0.58110384038519092</v>
      </c>
      <c r="AH96" s="3">
        <v>-0.31376901624222309</v>
      </c>
      <c r="AI96" s="3">
        <v>-2.1968935782299219</v>
      </c>
      <c r="AJ96" s="3">
        <v>2.1997701602556801E-2</v>
      </c>
      <c r="AK96" s="3">
        <v>-0.47497146011319308</v>
      </c>
      <c r="AL96" s="3">
        <v>-0.79455168936075049</v>
      </c>
      <c r="AM96" s="3">
        <v>-1.962740069739072</v>
      </c>
      <c r="AN96" s="3">
        <v>0.94401474807491959</v>
      </c>
      <c r="AO96" s="3">
        <v>-0.87145108871476706</v>
      </c>
      <c r="AP96" s="3">
        <v>-0.79521958151350414</v>
      </c>
      <c r="AQ96" s="3">
        <v>-1.4242177612085729</v>
      </c>
      <c r="AR96" s="3">
        <v>0.6307147067718395</v>
      </c>
      <c r="AS96" s="3">
        <v>-1.1073897722428609</v>
      </c>
      <c r="AT96" s="3">
        <v>-0.52145637702097414</v>
      </c>
      <c r="AU96" s="16">
        <f t="shared" si="2"/>
        <v>-0.60558730092514212</v>
      </c>
      <c r="AV96" s="16">
        <f t="shared" si="3"/>
        <v>-0.67821822807836529</v>
      </c>
    </row>
    <row r="97" spans="1:48" x14ac:dyDescent="0.25">
      <c r="A97" s="2" t="s">
        <v>46</v>
      </c>
      <c r="B97" s="2" t="s">
        <v>47</v>
      </c>
      <c r="C97" s="3">
        <v>0.01</v>
      </c>
      <c r="D97" s="3">
        <v>0.3</v>
      </c>
      <c r="E97" s="2" t="s">
        <v>56</v>
      </c>
      <c r="F97" s="3">
        <v>1</v>
      </c>
      <c r="G97" s="2" t="s">
        <v>51</v>
      </c>
      <c r="H97" s="2" t="s">
        <v>57</v>
      </c>
      <c r="I97" s="2">
        <v>251</v>
      </c>
      <c r="J97" s="2">
        <v>0</v>
      </c>
      <c r="K97" s="2">
        <v>257</v>
      </c>
      <c r="L97" s="2">
        <v>156</v>
      </c>
      <c r="M97" s="2">
        <v>0.622</v>
      </c>
      <c r="N97" s="2">
        <v>3</v>
      </c>
      <c r="O97" s="2">
        <v>1</v>
      </c>
      <c r="P97" s="2">
        <v>1464</v>
      </c>
      <c r="Q97" s="2">
        <v>714</v>
      </c>
      <c r="R97" s="4">
        <v>4.5461502075195313</v>
      </c>
      <c r="S97" s="4">
        <v>5.4089585940043126</v>
      </c>
      <c r="T97" s="4"/>
      <c r="U97" s="4"/>
      <c r="V97" s="4"/>
      <c r="W97" s="4">
        <v>0.33718112111091608</v>
      </c>
      <c r="X97" s="5">
        <v>30.771359253000359</v>
      </c>
      <c r="Y97" s="5">
        <v>68.684948709999844</v>
      </c>
      <c r="Z97" s="2">
        <v>0</v>
      </c>
      <c r="AA97" s="3">
        <v>2.6747795800474709E-6</v>
      </c>
      <c r="AB97" s="3">
        <v>9.6942205429077166</v>
      </c>
      <c r="AC97" s="3">
        <v>0</v>
      </c>
      <c r="AD97" s="3">
        <v>0</v>
      </c>
      <c r="AE97" s="3">
        <v>-3.3250838403384311</v>
      </c>
      <c r="AF97" s="3">
        <v>0.35541651463303731</v>
      </c>
      <c r="AG97" s="3">
        <v>7.7343359616805704E-2</v>
      </c>
      <c r="AH97" s="3">
        <v>-1.7353964990790181</v>
      </c>
      <c r="AI97" s="3">
        <v>-3.51587839162011</v>
      </c>
      <c r="AJ97" s="3">
        <v>0.1047824525589223</v>
      </c>
      <c r="AK97" s="3">
        <v>4.6149927481639402E-2</v>
      </c>
      <c r="AL97" s="3">
        <v>-1.8303664993291531</v>
      </c>
      <c r="AM97" s="3">
        <v>-3.328538249512436</v>
      </c>
      <c r="AN97" s="3">
        <v>0.40429356033874148</v>
      </c>
      <c r="AO97" s="3">
        <v>7.0563534550204005E-2</v>
      </c>
      <c r="AP97" s="3">
        <v>-1.6881417897172319</v>
      </c>
      <c r="AQ97" s="3">
        <v>-3.2196713336695391</v>
      </c>
      <c r="AR97" s="3">
        <v>0.3609904576091218</v>
      </c>
      <c r="AS97" s="3">
        <v>-0.1863886422739402</v>
      </c>
      <c r="AT97" s="3">
        <v>-1.872234201287851</v>
      </c>
      <c r="AU97" s="16">
        <f t="shared" si="2"/>
        <v>-1.2293259299055521</v>
      </c>
      <c r="AV97" s="16">
        <f t="shared" si="3"/>
        <v>-1.1970713267014192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3FA5C-927B-4B1C-AC29-A68D95E2DD16}">
  <dimension ref="A1:BB97"/>
  <sheetViews>
    <sheetView tabSelected="1" topLeftCell="AG1" workbookViewId="0">
      <selection activeCell="BA87" sqref="BA87"/>
    </sheetView>
  </sheetViews>
  <sheetFormatPr baseColWidth="10" defaultRowHeight="15" x14ac:dyDescent="0.25"/>
  <cols>
    <col min="53" max="53" width="15.140625" customWidth="1"/>
    <col min="54" max="54" width="15.28515625" customWidth="1"/>
  </cols>
  <sheetData>
    <row r="1" spans="1:54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58</v>
      </c>
      <c r="AA1" s="1" t="s">
        <v>59</v>
      </c>
      <c r="AB1" s="1" t="s">
        <v>60</v>
      </c>
      <c r="AC1" s="1" t="s">
        <v>61</v>
      </c>
      <c r="AD1" s="1" t="s">
        <v>62</v>
      </c>
      <c r="AE1" s="1" t="s">
        <v>63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5" t="s">
        <v>72</v>
      </c>
      <c r="BB1" s="15" t="s">
        <v>73</v>
      </c>
    </row>
    <row r="2" spans="1:54" x14ac:dyDescent="0.25">
      <c r="A2" s="2" t="s">
        <v>64</v>
      </c>
      <c r="B2" s="2" t="s">
        <v>65</v>
      </c>
      <c r="C2" s="3">
        <v>1E-3</v>
      </c>
      <c r="D2" s="3">
        <v>0.1</v>
      </c>
      <c r="E2" s="2" t="s">
        <v>48</v>
      </c>
      <c r="F2" s="3">
        <v>1</v>
      </c>
      <c r="G2" s="2" t="s">
        <v>49</v>
      </c>
      <c r="H2" s="2" t="s">
        <v>66</v>
      </c>
      <c r="I2" s="2">
        <v>43</v>
      </c>
      <c r="J2" s="2">
        <v>3</v>
      </c>
      <c r="K2" s="2">
        <v>52</v>
      </c>
      <c r="L2" s="2">
        <v>156</v>
      </c>
      <c r="M2" s="2">
        <v>3.6280000000000001</v>
      </c>
      <c r="N2" s="2">
        <v>1</v>
      </c>
      <c r="O2" s="2">
        <v>0</v>
      </c>
      <c r="P2" s="2">
        <v>10000</v>
      </c>
      <c r="Q2" s="2">
        <v>1231</v>
      </c>
      <c r="R2" s="4">
        <v>6.6981992721557617</v>
      </c>
      <c r="S2" s="4">
        <v>4.1023648579915362</v>
      </c>
      <c r="T2" s="4"/>
      <c r="U2" s="4">
        <v>4.408466974894206</v>
      </c>
      <c r="V2" s="4">
        <v>8.5492687225341797</v>
      </c>
      <c r="W2" s="4">
        <v>0.65474671125411987</v>
      </c>
      <c r="X2" s="5">
        <v>93.422351774999697</v>
      </c>
      <c r="Y2" s="5">
        <v>180.57470994600041</v>
      </c>
      <c r="Z2" s="3">
        <v>0.41377728684454451</v>
      </c>
      <c r="AA2" s="3">
        <v>0.32400000000000001</v>
      </c>
      <c r="AB2" s="3">
        <v>0.51100000000000001</v>
      </c>
      <c r="AC2" s="3">
        <v>5.4903834825379999E-4</v>
      </c>
      <c r="AD2" s="3">
        <v>0.21233202517032621</v>
      </c>
      <c r="AE2" s="3">
        <v>0.13045802712440491</v>
      </c>
      <c r="AF2" s="2">
        <v>0</v>
      </c>
      <c r="AG2" s="3">
        <v>0.37449556589126581</v>
      </c>
      <c r="AH2" s="3">
        <v>10.89294528961182</v>
      </c>
      <c r="AI2" s="3">
        <v>0</v>
      </c>
      <c r="AJ2" s="3">
        <v>0</v>
      </c>
      <c r="AK2" s="3">
        <v>-2.7266885497150759</v>
      </c>
      <c r="AL2" s="3">
        <v>-4.3846705192687602E-2</v>
      </c>
      <c r="AM2" s="3">
        <v>0.1158534846455765</v>
      </c>
      <c r="AN2" s="3">
        <v>0.96289858530169681</v>
      </c>
      <c r="AO2" s="3">
        <v>-2.9226963675825011</v>
      </c>
      <c r="AP2" s="3">
        <v>-8.3918173953362499E-2</v>
      </c>
      <c r="AQ2" s="3">
        <v>7.3491394218293302E-2</v>
      </c>
      <c r="AR2" s="3">
        <v>0.9331845689088748</v>
      </c>
      <c r="AS2" s="3">
        <v>-2.845530798405695</v>
      </c>
      <c r="AT2" s="3">
        <v>-0.1015546210437807</v>
      </c>
      <c r="AU2" s="3">
        <v>0.1299520719878102</v>
      </c>
      <c r="AV2" s="3">
        <v>0.89881680979227885</v>
      </c>
      <c r="AW2" s="3">
        <v>-3.0982215723519411</v>
      </c>
      <c r="AX2" s="3">
        <v>-2.5045493084191892</v>
      </c>
      <c r="AY2" s="3">
        <v>-0.2008558953835006</v>
      </c>
      <c r="AZ2" s="3">
        <v>-0.65046765057440359</v>
      </c>
      <c r="BA2" s="16">
        <f>AVERAGE(AW2:AZ2)</f>
        <v>-1.6135236066822585</v>
      </c>
      <c r="BB2" s="16">
        <f>AVERAGE(AK2:AV2)</f>
        <v>-0.46750319175321442</v>
      </c>
    </row>
    <row r="3" spans="1:54" x14ac:dyDescent="0.25">
      <c r="A3" s="2" t="s">
        <v>64</v>
      </c>
      <c r="B3" s="2" t="s">
        <v>65</v>
      </c>
      <c r="C3" s="3">
        <v>1E-3</v>
      </c>
      <c r="D3" s="3">
        <v>0.1</v>
      </c>
      <c r="E3" s="2" t="s">
        <v>48</v>
      </c>
      <c r="F3" s="3">
        <v>1</v>
      </c>
      <c r="G3" s="2" t="s">
        <v>51</v>
      </c>
      <c r="H3" s="2" t="s">
        <v>66</v>
      </c>
      <c r="I3" s="2">
        <v>43</v>
      </c>
      <c r="J3" s="2">
        <v>3</v>
      </c>
      <c r="K3" s="2">
        <v>52</v>
      </c>
      <c r="L3" s="2">
        <v>156</v>
      </c>
      <c r="M3" s="2">
        <v>3.6280000000000001</v>
      </c>
      <c r="N3" s="2">
        <v>1</v>
      </c>
      <c r="O3" s="2">
        <v>0</v>
      </c>
      <c r="P3" s="2">
        <v>10000</v>
      </c>
      <c r="Q3" s="2">
        <v>62</v>
      </c>
      <c r="R3" s="4">
        <v>2.1513385772705078</v>
      </c>
      <c r="S3" s="4">
        <v>6.0291729768117266</v>
      </c>
      <c r="T3" s="4"/>
      <c r="U3" s="4">
        <v>2.6907096703847251</v>
      </c>
      <c r="V3" s="4">
        <v>2.8251886367797852</v>
      </c>
      <c r="W3" s="4">
        <v>9.1099880635738303E-2</v>
      </c>
      <c r="X3" s="5">
        <v>108.8658741589998</v>
      </c>
      <c r="Y3" s="5">
        <v>1035.029106918</v>
      </c>
      <c r="Z3" s="3">
        <v>0.41377728684454451</v>
      </c>
      <c r="AA3" s="3">
        <v>0.32400000000000001</v>
      </c>
      <c r="AB3" s="3">
        <v>0.51100000000000001</v>
      </c>
      <c r="AC3" s="3">
        <v>1.1526311282068001E-3</v>
      </c>
      <c r="AD3" s="3">
        <v>0.35358083248138428</v>
      </c>
      <c r="AE3" s="3">
        <v>7.4340556748211002E-3</v>
      </c>
      <c r="AF3" s="2">
        <v>0</v>
      </c>
      <c r="AG3" s="3">
        <v>0.13288016617298121</v>
      </c>
      <c r="AH3" s="3">
        <v>4.7232837677001953</v>
      </c>
      <c r="AI3" s="3">
        <v>0</v>
      </c>
      <c r="AJ3" s="3">
        <v>0</v>
      </c>
      <c r="AK3" s="3">
        <v>-0.49100148684831679</v>
      </c>
      <c r="AL3" s="3">
        <v>0.15914719390196291</v>
      </c>
      <c r="AM3" s="3">
        <v>-0.58110384038519092</v>
      </c>
      <c r="AN3" s="3">
        <v>0.3979662042903005</v>
      </c>
      <c r="AO3" s="3">
        <v>-2.7162443593843828</v>
      </c>
      <c r="AP3" s="3">
        <v>-1.7132776355244981</v>
      </c>
      <c r="AQ3" s="3">
        <v>-0.47497146011319308</v>
      </c>
      <c r="AR3" s="3">
        <v>-1.1566549841402001</v>
      </c>
      <c r="AS3" s="3">
        <v>3.1909745070864803E-2</v>
      </c>
      <c r="AT3" s="3">
        <v>0.19656842870374711</v>
      </c>
      <c r="AU3" s="3">
        <v>-0.87145108871476706</v>
      </c>
      <c r="AV3" s="3">
        <v>0.6724927572103836</v>
      </c>
      <c r="AW3" s="3">
        <v>0.92352730147664297</v>
      </c>
      <c r="AX3" s="3">
        <v>0.86991992524412809</v>
      </c>
      <c r="AY3" s="3">
        <v>-1.1073897722428609</v>
      </c>
      <c r="AZ3" s="3">
        <v>0.81999493042772176</v>
      </c>
      <c r="BA3" s="16">
        <f t="shared" ref="BA3:BA9" si="0">AVERAGE(AW3:AZ3)</f>
        <v>0.37651309622640794</v>
      </c>
      <c r="BB3" s="16">
        <f t="shared" ref="BB3:BB9" si="1">AVERAGE(AK3:AV3)</f>
        <v>-0.54555171049444084</v>
      </c>
    </row>
    <row r="4" spans="1:54" x14ac:dyDescent="0.25">
      <c r="A4" s="2" t="s">
        <v>64</v>
      </c>
      <c r="B4" s="2" t="s">
        <v>65</v>
      </c>
      <c r="C4" s="3">
        <v>1E-3</v>
      </c>
      <c r="D4" s="3">
        <v>0.1</v>
      </c>
      <c r="E4" s="2" t="s">
        <v>52</v>
      </c>
      <c r="F4" s="3">
        <v>1</v>
      </c>
      <c r="G4" s="2" t="s">
        <v>49</v>
      </c>
      <c r="H4" s="2" t="s">
        <v>67</v>
      </c>
      <c r="I4" s="2">
        <v>73</v>
      </c>
      <c r="J4" s="2">
        <v>3</v>
      </c>
      <c r="K4" s="2">
        <v>82</v>
      </c>
      <c r="L4" s="2">
        <v>156</v>
      </c>
      <c r="M4" s="2">
        <v>2.137</v>
      </c>
      <c r="N4" s="2">
        <v>1</v>
      </c>
      <c r="O4" s="2">
        <v>0</v>
      </c>
      <c r="P4" s="2">
        <v>10000</v>
      </c>
      <c r="Q4" s="2">
        <v>1154</v>
      </c>
      <c r="R4" s="4">
        <v>2.7988238334655762</v>
      </c>
      <c r="S4" s="4">
        <v>2.9170534610748291</v>
      </c>
      <c r="T4" s="4"/>
      <c r="U4" s="4">
        <v>4.687076012293498</v>
      </c>
      <c r="V4" s="4">
        <v>8.447540283203125</v>
      </c>
      <c r="W4" s="4">
        <v>0.34186500310897822</v>
      </c>
      <c r="X4" s="5">
        <v>101.3072605069997</v>
      </c>
      <c r="Y4" s="5">
        <v>388.79811255999999</v>
      </c>
      <c r="Z4" s="3">
        <v>0.41377728684454451</v>
      </c>
      <c r="AA4" s="3">
        <v>0.32400000000000001</v>
      </c>
      <c r="AB4" s="3">
        <v>0.51100000000000001</v>
      </c>
      <c r="AC4" s="3">
        <v>1.1877581709995001E-3</v>
      </c>
      <c r="AD4" s="3">
        <v>0.43330609798431391</v>
      </c>
      <c r="AE4" s="3">
        <v>9.6382712945341995E-3</v>
      </c>
      <c r="AF4" s="2">
        <v>0</v>
      </c>
      <c r="AG4" s="3">
        <v>0.40000000596046448</v>
      </c>
      <c r="AH4" s="3">
        <v>1.3168294429779051</v>
      </c>
      <c r="AI4" s="3">
        <v>0</v>
      </c>
      <c r="AJ4" s="3">
        <v>0</v>
      </c>
      <c r="AK4" s="3">
        <v>0.60595258798501517</v>
      </c>
      <c r="AL4" s="3">
        <v>0.86934051919611643</v>
      </c>
      <c r="AM4" s="3">
        <v>-0.58110384038519092</v>
      </c>
      <c r="AN4" s="3">
        <v>0.91196842634816055</v>
      </c>
      <c r="AO4" s="3">
        <v>0.67488045292929055</v>
      </c>
      <c r="AP4" s="3">
        <v>0.9174149683315338</v>
      </c>
      <c r="AQ4" s="3">
        <v>-0.47497146011319308</v>
      </c>
      <c r="AR4" s="3">
        <v>0.92436781692664416</v>
      </c>
      <c r="AS4" s="3">
        <v>0.91328623612856163</v>
      </c>
      <c r="AT4" s="3">
        <v>0.91684600571980479</v>
      </c>
      <c r="AU4" s="3">
        <v>-0.87145108871476706</v>
      </c>
      <c r="AV4" s="3">
        <v>0.89333305066840274</v>
      </c>
      <c r="AW4" s="3">
        <v>0.55514270634269913</v>
      </c>
      <c r="AX4" s="3">
        <v>0.5350007139629227</v>
      </c>
      <c r="AY4" s="3">
        <v>-1.1073897722428609</v>
      </c>
      <c r="AZ4" s="3">
        <v>0.44093916377707171</v>
      </c>
      <c r="BA4" s="16">
        <f t="shared" si="0"/>
        <v>0.10592320295995812</v>
      </c>
      <c r="BB4" s="16">
        <f t="shared" si="1"/>
        <v>0.47498863958503162</v>
      </c>
    </row>
    <row r="5" spans="1:54" x14ac:dyDescent="0.25">
      <c r="A5" s="2" t="s">
        <v>64</v>
      </c>
      <c r="B5" s="2" t="s">
        <v>65</v>
      </c>
      <c r="C5" s="3">
        <v>1E-3</v>
      </c>
      <c r="D5" s="3">
        <v>0.1</v>
      </c>
      <c r="E5" s="2" t="s">
        <v>52</v>
      </c>
      <c r="F5" s="3">
        <v>1</v>
      </c>
      <c r="G5" s="2" t="s">
        <v>51</v>
      </c>
      <c r="H5" s="2" t="s">
        <v>67</v>
      </c>
      <c r="I5" s="2">
        <v>73</v>
      </c>
      <c r="J5" s="2">
        <v>3</v>
      </c>
      <c r="K5" s="2">
        <v>82</v>
      </c>
      <c r="L5" s="2">
        <v>156</v>
      </c>
      <c r="M5" s="2">
        <v>2.137</v>
      </c>
      <c r="N5" s="2">
        <v>1</v>
      </c>
      <c r="O5" s="2">
        <v>0</v>
      </c>
      <c r="P5" s="2">
        <v>10000</v>
      </c>
      <c r="Q5" s="2">
        <v>5961</v>
      </c>
      <c r="R5" s="4">
        <v>0.86062771081924438</v>
      </c>
      <c r="S5" s="4">
        <v>1.6758685111999509</v>
      </c>
      <c r="T5" s="4"/>
      <c r="U5" s="4">
        <v>1.582268238067627</v>
      </c>
      <c r="V5" s="4">
        <v>1.3737355470657351</v>
      </c>
      <c r="W5" s="4">
        <v>2.9198883101344102E-2</v>
      </c>
      <c r="X5" s="5">
        <v>122.361162705</v>
      </c>
      <c r="Y5" s="5">
        <v>1419.0906157270001</v>
      </c>
      <c r="Z5" s="3">
        <v>0.41377728684454451</v>
      </c>
      <c r="AA5" s="3">
        <v>0.32400000000000001</v>
      </c>
      <c r="AB5" s="3">
        <v>0.51100000000000001</v>
      </c>
      <c r="AC5" s="3">
        <v>1.3763468014076001E-3</v>
      </c>
      <c r="AD5" s="3">
        <v>0.30346137285232538</v>
      </c>
      <c r="AE5" s="3">
        <v>6.3457028008996998E-3</v>
      </c>
      <c r="AF5" s="2">
        <v>1</v>
      </c>
      <c r="AG5" s="3">
        <v>0.2124391943216323</v>
      </c>
      <c r="AH5" s="3">
        <v>-0.25381472706794739</v>
      </c>
      <c r="AI5" s="3">
        <v>0</v>
      </c>
      <c r="AJ5" s="3">
        <v>0</v>
      </c>
      <c r="AK5" s="3">
        <v>0.77453831010987961</v>
      </c>
      <c r="AL5" s="3">
        <v>0.88796734997533389</v>
      </c>
      <c r="AM5" s="3">
        <v>0.13754477894943709</v>
      </c>
      <c r="AN5" s="3">
        <v>0.90828876545684445</v>
      </c>
      <c r="AO5" s="3">
        <v>0.84793146424135002</v>
      </c>
      <c r="AP5" s="3">
        <v>0.92829785652196484</v>
      </c>
      <c r="AQ5" s="3">
        <v>9.6047528656101999E-2</v>
      </c>
      <c r="AR5" s="3">
        <v>0.96654595598257242</v>
      </c>
      <c r="AS5" s="3">
        <v>0.86299435447639361</v>
      </c>
      <c r="AT5" s="3">
        <v>0.87345368601299267</v>
      </c>
      <c r="AU5" s="3">
        <v>0.15693051100091579</v>
      </c>
      <c r="AV5" s="3">
        <v>0.91078740264251956</v>
      </c>
      <c r="AW5" s="3">
        <v>0.85940155737323365</v>
      </c>
      <c r="AX5" s="3">
        <v>0.96561423858667517</v>
      </c>
      <c r="AY5" s="3">
        <v>0.18996356593370839</v>
      </c>
      <c r="AZ5" s="3">
        <v>0.9034798073940884</v>
      </c>
      <c r="BA5" s="16">
        <f t="shared" si="0"/>
        <v>0.72961479232192639</v>
      </c>
      <c r="BB5" s="16">
        <f t="shared" si="1"/>
        <v>0.69594399700219212</v>
      </c>
    </row>
    <row r="6" spans="1:54" x14ac:dyDescent="0.25">
      <c r="A6" s="2" t="s">
        <v>64</v>
      </c>
      <c r="B6" s="2" t="s">
        <v>65</v>
      </c>
      <c r="C6" s="3">
        <v>1E-3</v>
      </c>
      <c r="D6" s="3">
        <v>0.1</v>
      </c>
      <c r="E6" s="2" t="s">
        <v>54</v>
      </c>
      <c r="F6" s="3">
        <v>1</v>
      </c>
      <c r="G6" s="2" t="s">
        <v>49</v>
      </c>
      <c r="H6" s="2" t="s">
        <v>68</v>
      </c>
      <c r="I6" s="2">
        <v>171</v>
      </c>
      <c r="J6" s="2">
        <v>3</v>
      </c>
      <c r="K6" s="2">
        <v>180</v>
      </c>
      <c r="L6" s="2">
        <v>156</v>
      </c>
      <c r="M6" s="2">
        <v>0.91200000000000003</v>
      </c>
      <c r="N6" s="2">
        <v>1</v>
      </c>
      <c r="O6" s="2">
        <v>0</v>
      </c>
      <c r="P6" s="2">
        <v>10000</v>
      </c>
      <c r="Q6" s="2">
        <v>8451</v>
      </c>
      <c r="R6" s="4">
        <v>2.226866722106934</v>
      </c>
      <c r="S6" s="4">
        <v>2.835849523544312</v>
      </c>
      <c r="T6" s="4"/>
      <c r="U6" s="4">
        <v>7.0860575040181484</v>
      </c>
      <c r="V6" s="4">
        <v>8.5841350555419922</v>
      </c>
      <c r="W6" s="4">
        <v>0.1739243865013122</v>
      </c>
      <c r="X6" s="5">
        <v>112.3320411069999</v>
      </c>
      <c r="Y6" s="5">
        <v>800.37016960099936</v>
      </c>
      <c r="Z6" s="3">
        <v>0.41377728684454451</v>
      </c>
      <c r="AA6" s="3">
        <v>0.32400000000000001</v>
      </c>
      <c r="AB6" s="3">
        <v>0.51100000000000001</v>
      </c>
      <c r="AC6" s="3">
        <v>4.5038457028560001E-4</v>
      </c>
      <c r="AD6" s="3">
        <v>0.30638629198074341</v>
      </c>
      <c r="AE6" s="3">
        <v>7.5412280857563001E-3</v>
      </c>
      <c r="AF6" s="2">
        <v>1</v>
      </c>
      <c r="AG6" s="3">
        <v>0.40000000596046448</v>
      </c>
      <c r="AH6" s="3">
        <v>-1.4080793857574461</v>
      </c>
      <c r="AI6" s="3">
        <v>0</v>
      </c>
      <c r="AJ6" s="3">
        <v>0</v>
      </c>
      <c r="AK6" s="3">
        <v>0.95492412495088441</v>
      </c>
      <c r="AL6" s="3">
        <v>0.8468855337527873</v>
      </c>
      <c r="AM6" s="3">
        <v>-0.58110384038519092</v>
      </c>
      <c r="AN6" s="3">
        <v>0.97723383351320703</v>
      </c>
      <c r="AO6" s="3">
        <v>0.94102400011256082</v>
      </c>
      <c r="AP6" s="3">
        <v>0.89612626932793493</v>
      </c>
      <c r="AQ6" s="3">
        <v>-0.47497146011319308</v>
      </c>
      <c r="AR6" s="3">
        <v>0.97039820730468962</v>
      </c>
      <c r="AS6" s="3">
        <v>0.9498175348460588</v>
      </c>
      <c r="AT6" s="3">
        <v>0.91384009883266737</v>
      </c>
      <c r="AU6" s="3">
        <v>-0.87145108871476706</v>
      </c>
      <c r="AV6" s="3">
        <v>0.98618423346364481</v>
      </c>
      <c r="AW6" s="3">
        <v>0.6911553505484167</v>
      </c>
      <c r="AX6" s="3">
        <v>0.92226732751472962</v>
      </c>
      <c r="AY6" s="3">
        <v>-1.1073897722428609</v>
      </c>
      <c r="AZ6" s="3">
        <v>0.71686277660468578</v>
      </c>
      <c r="BA6" s="16">
        <f t="shared" si="0"/>
        <v>0.30572392060624282</v>
      </c>
      <c r="BB6" s="16">
        <f t="shared" si="1"/>
        <v>0.54240895390760679</v>
      </c>
    </row>
    <row r="7" spans="1:54" s="14" customFormat="1" x14ac:dyDescent="0.25">
      <c r="A7" s="10" t="s">
        <v>64</v>
      </c>
      <c r="B7" s="10" t="s">
        <v>65</v>
      </c>
      <c r="C7" s="11">
        <v>1E-3</v>
      </c>
      <c r="D7" s="11">
        <v>0.1</v>
      </c>
      <c r="E7" s="10" t="s">
        <v>54</v>
      </c>
      <c r="F7" s="11">
        <v>1</v>
      </c>
      <c r="G7" s="10" t="s">
        <v>51</v>
      </c>
      <c r="H7" s="10" t="s">
        <v>68</v>
      </c>
      <c r="I7" s="10">
        <v>171</v>
      </c>
      <c r="J7" s="10">
        <v>3</v>
      </c>
      <c r="K7" s="10">
        <v>180</v>
      </c>
      <c r="L7" s="10">
        <v>156</v>
      </c>
      <c r="M7" s="10">
        <v>0.91200000000000003</v>
      </c>
      <c r="N7" s="10">
        <v>1</v>
      </c>
      <c r="O7" s="10">
        <v>0</v>
      </c>
      <c r="P7" s="10">
        <v>10000</v>
      </c>
      <c r="Q7" s="10">
        <v>1460</v>
      </c>
      <c r="R7" s="12">
        <v>0.8401673436164856</v>
      </c>
      <c r="S7" s="12">
        <v>1.966299414634705</v>
      </c>
      <c r="T7" s="12"/>
      <c r="U7" s="12">
        <v>1.5283954938252771</v>
      </c>
      <c r="V7" s="12">
        <v>1.9517842531204219</v>
      </c>
      <c r="W7" s="12">
        <v>4.8658963292837101E-2</v>
      </c>
      <c r="X7" s="13">
        <v>121.64336957500019</v>
      </c>
      <c r="Y7" s="13">
        <v>2504.2181339569979</v>
      </c>
      <c r="Z7" s="11">
        <v>0.41377728684454451</v>
      </c>
      <c r="AA7" s="11">
        <v>0.32400000000000001</v>
      </c>
      <c r="AB7" s="11">
        <v>0.51100000000000001</v>
      </c>
      <c r="AC7" s="11">
        <v>1.8377542728558001E-3</v>
      </c>
      <c r="AD7" s="11">
        <v>0.17834790050983429</v>
      </c>
      <c r="AE7" s="11">
        <v>9.6044074743986008E-3</v>
      </c>
      <c r="AF7" s="10">
        <v>0</v>
      </c>
      <c r="AG7" s="11">
        <v>0.3454534113407135</v>
      </c>
      <c r="AH7" s="11">
        <v>3.6862978935241699</v>
      </c>
      <c r="AI7" s="11">
        <v>0</v>
      </c>
      <c r="AJ7" s="11">
        <v>0</v>
      </c>
      <c r="AK7" s="11">
        <v>0.83899277996569954</v>
      </c>
      <c r="AL7" s="11">
        <v>0.87458081566422785</v>
      </c>
      <c r="AM7" s="11">
        <v>7.3060290458189098E-2</v>
      </c>
      <c r="AN7" s="11">
        <v>0.86538132831948733</v>
      </c>
      <c r="AO7" s="11">
        <v>0.54147099080761163</v>
      </c>
      <c r="AP7" s="11">
        <v>0.87870517201999543</v>
      </c>
      <c r="AQ7" s="11">
        <v>-0.12806469241310611</v>
      </c>
      <c r="AR7" s="11">
        <v>0.86227056067501473</v>
      </c>
      <c r="AS7" s="11">
        <v>0.87082635547117915</v>
      </c>
      <c r="AT7" s="11">
        <v>0.88657018500288154</v>
      </c>
      <c r="AU7" s="11">
        <v>0.1039193595679313</v>
      </c>
      <c r="AV7" s="11">
        <v>0.9196883294178696</v>
      </c>
      <c r="AW7" s="11">
        <v>0.94444541566876361</v>
      </c>
      <c r="AX7" s="11">
        <v>0.94752092637067464</v>
      </c>
      <c r="AY7" s="11">
        <v>0.1969045489113454</v>
      </c>
      <c r="AZ7" s="11">
        <v>0.91407543079907982</v>
      </c>
      <c r="BA7" s="16">
        <f t="shared" si="0"/>
        <v>0.75073658043746583</v>
      </c>
      <c r="BB7" s="16">
        <f t="shared" si="1"/>
        <v>0.63228345624641513</v>
      </c>
    </row>
    <row r="8" spans="1:54" x14ac:dyDescent="0.25">
      <c r="A8" s="2" t="s">
        <v>64</v>
      </c>
      <c r="B8" s="2" t="s">
        <v>65</v>
      </c>
      <c r="C8" s="3">
        <v>1E-3</v>
      </c>
      <c r="D8" s="3">
        <v>0.1</v>
      </c>
      <c r="E8" s="2" t="s">
        <v>56</v>
      </c>
      <c r="F8" s="3">
        <v>1</v>
      </c>
      <c r="G8" s="2" t="s">
        <v>49</v>
      </c>
      <c r="H8" s="2" t="s">
        <v>69</v>
      </c>
      <c r="I8" s="2">
        <v>227</v>
      </c>
      <c r="J8" s="2">
        <v>3</v>
      </c>
      <c r="K8" s="2">
        <v>236</v>
      </c>
      <c r="L8" s="2">
        <v>156</v>
      </c>
      <c r="M8" s="2">
        <v>0.68700000000000006</v>
      </c>
      <c r="N8" s="2">
        <v>1</v>
      </c>
      <c r="O8" s="2">
        <v>0</v>
      </c>
      <c r="P8" s="2">
        <v>10000</v>
      </c>
      <c r="Q8" s="2">
        <v>9850</v>
      </c>
      <c r="R8" s="4">
        <v>0.957111656665802</v>
      </c>
      <c r="S8" s="4">
        <v>4.2042447725931806</v>
      </c>
      <c r="T8" s="4"/>
      <c r="U8" s="4">
        <v>4.4299042224884033</v>
      </c>
      <c r="V8" s="4">
        <v>1.961906433105469</v>
      </c>
      <c r="W8" s="4">
        <v>0.1788157522678375</v>
      </c>
      <c r="X8" s="5">
        <v>110.6260299169999</v>
      </c>
      <c r="Y8" s="5">
        <v>268.45366404600281</v>
      </c>
      <c r="Z8" s="3">
        <v>0.41377728684454451</v>
      </c>
      <c r="AA8" s="3">
        <v>0.32400000000000001</v>
      </c>
      <c r="AB8" s="3">
        <v>0.51100000000000001</v>
      </c>
      <c r="AC8" s="3">
        <v>1.1247665388509E-3</v>
      </c>
      <c r="AD8" s="3">
        <v>0.35373389720916748</v>
      </c>
      <c r="AE8" s="3">
        <v>7.6473271474242002E-3</v>
      </c>
      <c r="AF8" s="2">
        <v>1</v>
      </c>
      <c r="AG8" s="3">
        <v>0.23011122643947601</v>
      </c>
      <c r="AH8" s="3">
        <v>-4.7018089294433594</v>
      </c>
      <c r="AI8" s="3">
        <v>0</v>
      </c>
      <c r="AJ8" s="3">
        <v>0</v>
      </c>
      <c r="AK8" s="3">
        <v>-0.69417406906885337</v>
      </c>
      <c r="AL8" s="3">
        <v>0.42286895827756021</v>
      </c>
      <c r="AM8" s="3">
        <v>-0.58110384038519092</v>
      </c>
      <c r="AN8" s="3">
        <v>0.175256341827773</v>
      </c>
      <c r="AO8" s="3">
        <v>-1.2740503615538219</v>
      </c>
      <c r="AP8" s="3">
        <v>0.29919204089790558</v>
      </c>
      <c r="AQ8" s="3">
        <v>-0.47497146011319308</v>
      </c>
      <c r="AR8" s="3">
        <v>-9.4345259926971597E-2</v>
      </c>
      <c r="AS8" s="3">
        <v>0.13361664987368671</v>
      </c>
      <c r="AT8" s="3">
        <v>0.1409937841070121</v>
      </c>
      <c r="AU8" s="3">
        <v>-0.112070531010975</v>
      </c>
      <c r="AV8" s="3">
        <v>0.73407114287342123</v>
      </c>
      <c r="AW8" s="3">
        <v>0.9606623881070302</v>
      </c>
      <c r="AX8" s="3">
        <v>0.84323942970423982</v>
      </c>
      <c r="AY8" s="3">
        <v>0.16555142545418949</v>
      </c>
      <c r="AZ8" s="3">
        <v>0.93147912209084105</v>
      </c>
      <c r="BA8" s="16">
        <f t="shared" si="0"/>
        <v>0.7252330913390751</v>
      </c>
      <c r="BB8" s="16">
        <f t="shared" si="1"/>
        <v>-0.1103930503501372</v>
      </c>
    </row>
    <row r="9" spans="1:54" x14ac:dyDescent="0.25">
      <c r="A9" s="2" t="s">
        <v>64</v>
      </c>
      <c r="B9" s="2" t="s">
        <v>65</v>
      </c>
      <c r="C9" s="3">
        <v>1E-3</v>
      </c>
      <c r="D9" s="3">
        <v>0.1</v>
      </c>
      <c r="E9" s="2" t="s">
        <v>56</v>
      </c>
      <c r="F9" s="3">
        <v>1</v>
      </c>
      <c r="G9" s="2" t="s">
        <v>51</v>
      </c>
      <c r="H9" s="2" t="s">
        <v>69</v>
      </c>
      <c r="I9" s="2">
        <v>227</v>
      </c>
      <c r="J9" s="2">
        <v>3</v>
      </c>
      <c r="K9" s="2">
        <v>236</v>
      </c>
      <c r="L9" s="2">
        <v>156</v>
      </c>
      <c r="M9" s="2">
        <v>0.68700000000000006</v>
      </c>
      <c r="N9" s="2">
        <v>1</v>
      </c>
      <c r="O9" s="2">
        <v>0</v>
      </c>
      <c r="P9" s="2">
        <v>10000</v>
      </c>
      <c r="Q9" s="2">
        <v>1510</v>
      </c>
      <c r="R9" s="4">
        <v>2.0725793838500981</v>
      </c>
      <c r="S9" s="4">
        <v>3.6205152670542402</v>
      </c>
      <c r="T9" s="4"/>
      <c r="U9" s="4">
        <v>2.7296601136525478</v>
      </c>
      <c r="V9" s="4">
        <v>2.7162079811096191</v>
      </c>
      <c r="W9" s="4">
        <v>7.9941369593143394E-2</v>
      </c>
      <c r="X9" s="5">
        <v>121.8387116909998</v>
      </c>
      <c r="Y9" s="5">
        <v>1425.7004710609981</v>
      </c>
      <c r="Z9" s="3">
        <v>0.41377728684454451</v>
      </c>
      <c r="AA9" s="3">
        <v>0.32400000000000001</v>
      </c>
      <c r="AB9" s="3">
        <v>0.51100000000000001</v>
      </c>
      <c r="AC9" s="3">
        <v>1.1610855581238001E-3</v>
      </c>
      <c r="AD9" s="3">
        <v>0.34505483508110041</v>
      </c>
      <c r="AE9" s="3">
        <v>6.2722591683268001E-3</v>
      </c>
      <c r="AF9" s="2">
        <v>0</v>
      </c>
      <c r="AG9" s="3">
        <v>0.1176564022898674</v>
      </c>
      <c r="AH9" s="3">
        <v>4.6966390609741211</v>
      </c>
      <c r="AI9" s="3">
        <v>0</v>
      </c>
      <c r="AJ9" s="3">
        <v>0</v>
      </c>
      <c r="AK9" s="3">
        <v>0.2208723238277876</v>
      </c>
      <c r="AL9" s="3">
        <v>0.59753232210667018</v>
      </c>
      <c r="AM9" s="3">
        <v>-0.58110384038519092</v>
      </c>
      <c r="AN9" s="3">
        <v>0.68772896586970744</v>
      </c>
      <c r="AO9" s="3">
        <v>0.31853439036300829</v>
      </c>
      <c r="AP9" s="3">
        <v>0.59081936099615506</v>
      </c>
      <c r="AQ9" s="3">
        <v>-0.47497146011319308</v>
      </c>
      <c r="AR9" s="3">
        <v>0.79146875014985396</v>
      </c>
      <c r="AS9" s="3">
        <v>0.2965540695100633</v>
      </c>
      <c r="AT9" s="3">
        <v>0.48033124436709701</v>
      </c>
      <c r="AU9" s="3">
        <v>-0.87145108871476706</v>
      </c>
      <c r="AV9" s="3">
        <v>0.68100391453822495</v>
      </c>
      <c r="AW9" s="3">
        <v>0.95929207369574276</v>
      </c>
      <c r="AX9" s="3">
        <v>0.87923529687340718</v>
      </c>
      <c r="AY9" s="3">
        <v>-1.1073897722428609</v>
      </c>
      <c r="AZ9" s="3">
        <v>0.92944658317173035</v>
      </c>
      <c r="BA9" s="16">
        <f t="shared" si="0"/>
        <v>0.41514604537450484</v>
      </c>
      <c r="BB9" s="16">
        <f t="shared" si="1"/>
        <v>0.22810991270961808</v>
      </c>
    </row>
    <row r="10" spans="1:54" x14ac:dyDescent="0.25">
      <c r="A10" s="2" t="s">
        <v>64</v>
      </c>
      <c r="B10" s="2" t="s">
        <v>65</v>
      </c>
      <c r="C10" s="3">
        <v>1E-3</v>
      </c>
      <c r="D10" s="3">
        <v>0.3</v>
      </c>
      <c r="E10" s="2" t="s">
        <v>48</v>
      </c>
      <c r="F10" s="3">
        <v>1</v>
      </c>
      <c r="G10" s="2" t="s">
        <v>49</v>
      </c>
      <c r="H10" s="2" t="s">
        <v>66</v>
      </c>
      <c r="I10" s="2">
        <v>43</v>
      </c>
      <c r="J10" s="2">
        <v>3</v>
      </c>
      <c r="K10" s="2">
        <v>52</v>
      </c>
      <c r="L10" s="2">
        <v>156</v>
      </c>
      <c r="M10" s="2">
        <v>3.6280000000000001</v>
      </c>
      <c r="N10" s="2">
        <v>1</v>
      </c>
      <c r="O10" s="2">
        <v>0</v>
      </c>
      <c r="P10" s="2">
        <v>10000</v>
      </c>
      <c r="Q10" s="2">
        <v>1077</v>
      </c>
      <c r="R10" s="4">
        <v>6.6704564094543457</v>
      </c>
      <c r="S10" s="4">
        <v>4.3163197040557861</v>
      </c>
      <c r="T10" s="4"/>
      <c r="U10" s="4">
        <v>4.4269661903381348</v>
      </c>
      <c r="V10" s="4">
        <v>8.5435771942138672</v>
      </c>
      <c r="W10" s="4">
        <v>0.67186808586120605</v>
      </c>
      <c r="X10" s="5">
        <v>98.447637780999685</v>
      </c>
      <c r="Y10" s="5">
        <v>191.1756869790006</v>
      </c>
      <c r="Z10" s="3">
        <v>0.41377728684454451</v>
      </c>
      <c r="AA10" s="3">
        <v>0.32400000000000001</v>
      </c>
      <c r="AB10" s="3">
        <v>0.51100000000000001</v>
      </c>
      <c r="AC10" s="3">
        <v>7.8453373862429998E-4</v>
      </c>
      <c r="AD10" s="3">
        <v>0.24234500527381889</v>
      </c>
      <c r="AE10" s="3">
        <v>0.11898425221443169</v>
      </c>
      <c r="AF10" s="2">
        <v>0</v>
      </c>
      <c r="AG10" s="3">
        <v>0.3640606701374054</v>
      </c>
      <c r="AH10" s="3">
        <v>11.15497398376465</v>
      </c>
      <c r="AI10" s="3">
        <v>0</v>
      </c>
      <c r="AJ10" s="3">
        <v>0</v>
      </c>
      <c r="AK10" s="3">
        <v>-2.7271826251720448</v>
      </c>
      <c r="AL10" s="3">
        <v>-5.2668741682322599E-2</v>
      </c>
      <c r="AM10" s="3">
        <v>0.1022711096327286</v>
      </c>
      <c r="AN10" s="3">
        <v>0.95059575941418539</v>
      </c>
      <c r="AO10" s="3">
        <v>-2.8481971244830819</v>
      </c>
      <c r="AP10" s="3">
        <v>-0.1123929128650476</v>
      </c>
      <c r="AQ10" s="3">
        <v>5.6182830847083497E-2</v>
      </c>
      <c r="AR10" s="3">
        <v>0.9178062867935648</v>
      </c>
      <c r="AS10" s="3">
        <v>-3.0013612237462972</v>
      </c>
      <c r="AT10" s="3">
        <v>-0.17928675260124999</v>
      </c>
      <c r="AU10" s="3">
        <v>6.1688422552303002E-2</v>
      </c>
      <c r="AV10" s="3">
        <v>0.37216338117881942</v>
      </c>
      <c r="AW10" s="3">
        <v>-3.1001640169976028</v>
      </c>
      <c r="AX10" s="3">
        <v>-2.449755970874032</v>
      </c>
      <c r="AY10" s="3">
        <v>-0.16779913997899931</v>
      </c>
      <c r="AZ10" s="3">
        <v>-0.75457179329560664</v>
      </c>
      <c r="BA10" s="16">
        <f t="shared" ref="BA10:BA73" si="2">AVERAGE(AW10:AZ10)</f>
        <v>-1.6180727302865601</v>
      </c>
      <c r="BB10" s="16">
        <f t="shared" ref="BB10:BB73" si="3">AVERAGE(AK10:AV10)</f>
        <v>-0.53836513251094664</v>
      </c>
    </row>
    <row r="11" spans="1:54" x14ac:dyDescent="0.25">
      <c r="A11" s="2" t="s">
        <v>64</v>
      </c>
      <c r="B11" s="2" t="s">
        <v>65</v>
      </c>
      <c r="C11" s="3">
        <v>1E-3</v>
      </c>
      <c r="D11" s="3">
        <v>0.3</v>
      </c>
      <c r="E11" s="2" t="s">
        <v>48</v>
      </c>
      <c r="F11" s="3">
        <v>1</v>
      </c>
      <c r="G11" s="2" t="s">
        <v>51</v>
      </c>
      <c r="H11" s="2" t="s">
        <v>66</v>
      </c>
      <c r="I11" s="2">
        <v>43</v>
      </c>
      <c r="J11" s="2">
        <v>3</v>
      </c>
      <c r="K11" s="2">
        <v>52</v>
      </c>
      <c r="L11" s="2">
        <v>156</v>
      </c>
      <c r="M11" s="2">
        <v>3.6280000000000001</v>
      </c>
      <c r="N11" s="2">
        <v>1</v>
      </c>
      <c r="O11" s="2">
        <v>0</v>
      </c>
      <c r="P11" s="2">
        <v>10000</v>
      </c>
      <c r="Q11" s="2">
        <v>279</v>
      </c>
      <c r="R11" s="4">
        <v>0.98726618289947521</v>
      </c>
      <c r="S11" s="4">
        <v>5.7086691061655683</v>
      </c>
      <c r="T11" s="4"/>
      <c r="U11" s="4">
        <v>2.4681139787038169</v>
      </c>
      <c r="V11" s="4">
        <v>1.466171860694885</v>
      </c>
      <c r="W11" s="4">
        <v>0.28442439436912531</v>
      </c>
      <c r="X11" s="5">
        <v>93.940701208000064</v>
      </c>
      <c r="Y11" s="5">
        <v>662.86211815100251</v>
      </c>
      <c r="Z11" s="3">
        <v>0.41377728684454451</v>
      </c>
      <c r="AA11" s="3">
        <v>0.32400000000000001</v>
      </c>
      <c r="AB11" s="3">
        <v>0.51100000000000001</v>
      </c>
      <c r="AC11" s="3">
        <v>1.1540600098669E-3</v>
      </c>
      <c r="AD11" s="3">
        <v>0.34411302208900452</v>
      </c>
      <c r="AE11" s="3">
        <v>7.0310211740433996E-3</v>
      </c>
      <c r="AF11" s="2">
        <v>0</v>
      </c>
      <c r="AG11" s="3">
        <v>7.1023695170879295E-2</v>
      </c>
      <c r="AH11" s="3">
        <v>15.83982086181641</v>
      </c>
      <c r="AI11" s="3">
        <v>0</v>
      </c>
      <c r="AJ11" s="3">
        <v>0</v>
      </c>
      <c r="AK11" s="3">
        <v>-1.8627845095230351</v>
      </c>
      <c r="AL11" s="3">
        <v>0.1276675605441342</v>
      </c>
      <c r="AM11" s="3">
        <v>-0.18177526155586299</v>
      </c>
      <c r="AN11" s="3">
        <v>-0.66087788774217637</v>
      </c>
      <c r="AO11" s="3">
        <v>-3.4353639317179252</v>
      </c>
      <c r="AP11" s="3">
        <v>-0.85901684367233555</v>
      </c>
      <c r="AQ11" s="3">
        <v>-0.37896344031829882</v>
      </c>
      <c r="AR11" s="3">
        <v>-1.7796697865049971</v>
      </c>
      <c r="AS11" s="3">
        <v>-0.31542639348486751</v>
      </c>
      <c r="AT11" s="3">
        <v>-0.2176589988040496</v>
      </c>
      <c r="AU11" s="3">
        <v>-8.5682326221661706E-2</v>
      </c>
      <c r="AV11" s="3">
        <v>0.4553835190536592</v>
      </c>
      <c r="AW11" s="3">
        <v>0.90257763410398784</v>
      </c>
      <c r="AX11" s="3">
        <v>0.81668252298715227</v>
      </c>
      <c r="AY11" s="3">
        <v>0.16298045318019519</v>
      </c>
      <c r="AZ11" s="3">
        <v>0.96221570141988377</v>
      </c>
      <c r="BA11" s="16">
        <f t="shared" si="2"/>
        <v>0.71111407792280479</v>
      </c>
      <c r="BB11" s="16">
        <f t="shared" si="3"/>
        <v>-0.76618069166228475</v>
      </c>
    </row>
    <row r="12" spans="1:54" x14ac:dyDescent="0.25">
      <c r="A12" s="2" t="s">
        <v>64</v>
      </c>
      <c r="B12" s="2" t="s">
        <v>65</v>
      </c>
      <c r="C12" s="3">
        <v>1E-3</v>
      </c>
      <c r="D12" s="3">
        <v>0.3</v>
      </c>
      <c r="E12" s="2" t="s">
        <v>52</v>
      </c>
      <c r="F12" s="3">
        <v>1</v>
      </c>
      <c r="G12" s="2" t="s">
        <v>49</v>
      </c>
      <c r="H12" s="2" t="s">
        <v>67</v>
      </c>
      <c r="I12" s="2">
        <v>73</v>
      </c>
      <c r="J12" s="2">
        <v>3</v>
      </c>
      <c r="K12" s="2">
        <v>82</v>
      </c>
      <c r="L12" s="2">
        <v>156</v>
      </c>
      <c r="M12" s="2">
        <v>2.137</v>
      </c>
      <c r="N12" s="2">
        <v>1</v>
      </c>
      <c r="O12" s="2">
        <v>0</v>
      </c>
      <c r="P12" s="2">
        <v>10000</v>
      </c>
      <c r="Q12" s="2">
        <v>962</v>
      </c>
      <c r="R12" s="4">
        <v>4.6322612762451172</v>
      </c>
      <c r="S12" s="4">
        <v>3.742205142974854</v>
      </c>
      <c r="T12" s="4"/>
      <c r="U12" s="4">
        <v>4.9111069043477373</v>
      </c>
      <c r="V12" s="4">
        <v>8.4222211837768555</v>
      </c>
      <c r="W12" s="4">
        <v>0.50512808561325073</v>
      </c>
      <c r="X12" s="5">
        <v>114.8116854520004</v>
      </c>
      <c r="Y12" s="5">
        <v>327.59309398800178</v>
      </c>
      <c r="Z12" s="3">
        <v>0.41377728684454451</v>
      </c>
      <c r="AA12" s="3">
        <v>0.32400000000000001</v>
      </c>
      <c r="AB12" s="3">
        <v>0.51100000000000001</v>
      </c>
      <c r="AC12" s="3">
        <v>1.2128819944337E-3</v>
      </c>
      <c r="AD12" s="3">
        <v>0.59228157997131348</v>
      </c>
      <c r="AE12" s="3">
        <v>1.3067147694528099E-2</v>
      </c>
      <c r="AF12" s="2">
        <v>0</v>
      </c>
      <c r="AG12" s="3">
        <v>0.40000000596046448</v>
      </c>
      <c r="AH12" s="3">
        <v>0.204731285572052</v>
      </c>
      <c r="AI12" s="3">
        <v>0</v>
      </c>
      <c r="AJ12" s="3">
        <v>0</v>
      </c>
      <c r="AK12" s="3">
        <v>-0.27035898625863197</v>
      </c>
      <c r="AL12" s="3">
        <v>0.6231283165260818</v>
      </c>
      <c r="AM12" s="3">
        <v>-0.58110384038519092</v>
      </c>
      <c r="AN12" s="3">
        <v>0.7892791099522124</v>
      </c>
      <c r="AO12" s="3">
        <v>-1.028156754118386</v>
      </c>
      <c r="AP12" s="3">
        <v>0.47821393575562021</v>
      </c>
      <c r="AQ12" s="3">
        <v>-0.47497146011319308</v>
      </c>
      <c r="AR12" s="3">
        <v>0.72365701087019452</v>
      </c>
      <c r="AS12" s="3">
        <v>4.29338658315477E-2</v>
      </c>
      <c r="AT12" s="3">
        <v>0.69501833255584355</v>
      </c>
      <c r="AU12" s="3">
        <v>-0.87145108871476706</v>
      </c>
      <c r="AV12" s="3">
        <v>0.91051191639093543</v>
      </c>
      <c r="AW12" s="3">
        <v>-0.72262937699860563</v>
      </c>
      <c r="AX12" s="3">
        <v>-0.79495375551875402</v>
      </c>
      <c r="AY12" s="3">
        <v>-1.1073897722428609</v>
      </c>
      <c r="AZ12" s="3">
        <v>0.20933043610486579</v>
      </c>
      <c r="BA12" s="16">
        <f t="shared" si="2"/>
        <v>-0.60391061716383865</v>
      </c>
      <c r="BB12" s="16">
        <f t="shared" si="3"/>
        <v>8.6391696524355535E-2</v>
      </c>
    </row>
    <row r="13" spans="1:54" x14ac:dyDescent="0.25">
      <c r="A13" s="2" t="s">
        <v>64</v>
      </c>
      <c r="B13" s="2" t="s">
        <v>65</v>
      </c>
      <c r="C13" s="3">
        <v>1E-3</v>
      </c>
      <c r="D13" s="3">
        <v>0.3</v>
      </c>
      <c r="E13" s="2" t="s">
        <v>52</v>
      </c>
      <c r="F13" s="3">
        <v>1</v>
      </c>
      <c r="G13" s="2" t="s">
        <v>51</v>
      </c>
      <c r="H13" s="2" t="s">
        <v>67</v>
      </c>
      <c r="I13" s="2">
        <v>73</v>
      </c>
      <c r="J13" s="2">
        <v>3</v>
      </c>
      <c r="K13" s="2">
        <v>82</v>
      </c>
      <c r="L13" s="2">
        <v>156</v>
      </c>
      <c r="M13" s="2">
        <v>2.137</v>
      </c>
      <c r="N13" s="2">
        <v>1</v>
      </c>
      <c r="O13" s="2">
        <v>0</v>
      </c>
      <c r="P13" s="2">
        <v>10000</v>
      </c>
      <c r="Q13" s="2">
        <v>797</v>
      </c>
      <c r="R13" s="4">
        <v>0.90378105640411377</v>
      </c>
      <c r="S13" s="4">
        <v>4.0692092577616377</v>
      </c>
      <c r="T13" s="4"/>
      <c r="U13" s="4">
        <v>1.912538369496664</v>
      </c>
      <c r="V13" s="4">
        <v>1.50859534740448</v>
      </c>
      <c r="W13" s="4">
        <v>0.3716051578521728</v>
      </c>
      <c r="X13" s="5">
        <v>113.0383189720005</v>
      </c>
      <c r="Y13" s="5">
        <v>794.07443167499878</v>
      </c>
      <c r="Z13" s="3">
        <v>0.41377728684454451</v>
      </c>
      <c r="AA13" s="3">
        <v>0.32400000000000001</v>
      </c>
      <c r="AB13" s="3">
        <v>0.51100000000000001</v>
      </c>
      <c r="AC13" s="3">
        <v>1.1488206218927999E-3</v>
      </c>
      <c r="AD13" s="3">
        <v>0.346811443567276</v>
      </c>
      <c r="AE13" s="3">
        <v>7.2260517627000002E-3</v>
      </c>
      <c r="AF13" s="2">
        <v>1</v>
      </c>
      <c r="AG13" s="3">
        <v>0.1143825054168701</v>
      </c>
      <c r="AH13" s="3">
        <v>-12.56744384765625</v>
      </c>
      <c r="AI13" s="3">
        <v>0</v>
      </c>
      <c r="AJ13" s="3">
        <v>0</v>
      </c>
      <c r="AK13" s="3">
        <v>-3.5172751212276802E-2</v>
      </c>
      <c r="AL13" s="3">
        <v>0.65439420863291642</v>
      </c>
      <c r="AM13" s="3">
        <v>-0.35416154187586141</v>
      </c>
      <c r="AN13" s="3">
        <v>0.55543824394605834</v>
      </c>
      <c r="AO13" s="3">
        <v>-1.9715895371340679</v>
      </c>
      <c r="AP13" s="3">
        <v>0.23542005739911731</v>
      </c>
      <c r="AQ13" s="3">
        <v>-0.52017406015065859</v>
      </c>
      <c r="AR13" s="3">
        <v>-0.4778004110552469</v>
      </c>
      <c r="AS13" s="3">
        <v>-0.46921218120505648</v>
      </c>
      <c r="AT13" s="3">
        <v>0.74522981763855767</v>
      </c>
      <c r="AU13" s="3">
        <v>-0.35521545605047161</v>
      </c>
      <c r="AV13" s="3">
        <v>0.2412548648054203</v>
      </c>
      <c r="AW13" s="3">
        <v>0.66831537730202228</v>
      </c>
      <c r="AX13" s="3">
        <v>0.90605846190226436</v>
      </c>
      <c r="AY13" s="3">
        <v>0.26415966678664782</v>
      </c>
      <c r="AZ13" s="3">
        <v>0.91838280427431718</v>
      </c>
      <c r="BA13" s="16">
        <f t="shared" si="2"/>
        <v>0.68922907756631291</v>
      </c>
      <c r="BB13" s="16">
        <f t="shared" si="3"/>
        <v>-0.14596572885513082</v>
      </c>
    </row>
    <row r="14" spans="1:54" x14ac:dyDescent="0.25">
      <c r="A14" s="2" t="s">
        <v>64</v>
      </c>
      <c r="B14" s="2" t="s">
        <v>65</v>
      </c>
      <c r="C14" s="3">
        <v>1E-3</v>
      </c>
      <c r="D14" s="3">
        <v>0.3</v>
      </c>
      <c r="E14" s="2" t="s">
        <v>54</v>
      </c>
      <c r="F14" s="3">
        <v>1</v>
      </c>
      <c r="G14" s="2" t="s">
        <v>49</v>
      </c>
      <c r="H14" s="2" t="s">
        <v>68</v>
      </c>
      <c r="I14" s="2">
        <v>171</v>
      </c>
      <c r="J14" s="2">
        <v>3</v>
      </c>
      <c r="K14" s="2">
        <v>180</v>
      </c>
      <c r="L14" s="2">
        <v>156</v>
      </c>
      <c r="M14" s="2">
        <v>0.91200000000000003</v>
      </c>
      <c r="N14" s="2">
        <v>1</v>
      </c>
      <c r="O14" s="2">
        <v>1</v>
      </c>
      <c r="P14" s="2">
        <v>9209</v>
      </c>
      <c r="Q14" s="2">
        <v>596</v>
      </c>
      <c r="R14" s="4">
        <v>5.4901719093322754</v>
      </c>
      <c r="S14" s="4">
        <v>4.9117854436238604</v>
      </c>
      <c r="T14" s="4"/>
      <c r="U14" s="4">
        <v>3.997748295466105</v>
      </c>
      <c r="V14" s="4"/>
      <c r="W14" s="4">
        <v>0.57323336601257324</v>
      </c>
      <c r="X14" s="5">
        <v>100.1267013289998</v>
      </c>
      <c r="Y14" s="5">
        <v>299.89344821000122</v>
      </c>
      <c r="Z14" s="3">
        <v>0.41377728684454451</v>
      </c>
      <c r="AA14" s="3">
        <v>0.32400000000000001</v>
      </c>
      <c r="AB14" s="3">
        <v>0.51100000000000001</v>
      </c>
      <c r="AC14" s="3">
        <v>1.5742946416139E-3</v>
      </c>
      <c r="AD14" s="3">
        <v>0.28389668464660639</v>
      </c>
      <c r="AE14" s="3">
        <v>8.1935703754424993E-2</v>
      </c>
      <c r="AF14" s="2">
        <v>0</v>
      </c>
      <c r="AG14" s="3">
        <v>0.32119220495223999</v>
      </c>
      <c r="AH14" s="3">
        <v>12.51071071624756</v>
      </c>
      <c r="AI14" s="3">
        <v>0</v>
      </c>
      <c r="AJ14" s="3">
        <v>0</v>
      </c>
      <c r="AK14" s="3">
        <v>-2.864512211966213</v>
      </c>
      <c r="AL14" s="3">
        <v>-8.5164625575488706E-2</v>
      </c>
      <c r="AM14" s="3">
        <v>0.1179124679416399</v>
      </c>
      <c r="AN14" s="3">
        <v>0.23671993647056641</v>
      </c>
      <c r="AO14" s="3">
        <v>-3.1952484427770611</v>
      </c>
      <c r="AP14" s="3">
        <v>-0.2283529734124205</v>
      </c>
      <c r="AQ14" s="3">
        <v>-2.01789855106746E-2</v>
      </c>
      <c r="AR14" s="3">
        <v>-0.20678687526337211</v>
      </c>
      <c r="AS14" s="3">
        <v>-2.9810847869599009</v>
      </c>
      <c r="AT14" s="3">
        <v>-0.2336706212754002</v>
      </c>
      <c r="AU14" s="3">
        <v>0.1366783267364361</v>
      </c>
      <c r="AV14" s="3">
        <v>-9.5962892811489203E-2</v>
      </c>
      <c r="AW14" s="3">
        <v>-2.7571547051295271</v>
      </c>
      <c r="AX14" s="3">
        <v>-1.987876713979517</v>
      </c>
      <c r="AY14" s="3">
        <v>-6.8025266118346195E-2</v>
      </c>
      <c r="AZ14" s="3">
        <v>0.2333799195764141</v>
      </c>
      <c r="BA14" s="16">
        <f t="shared" si="2"/>
        <v>-1.1449191914127441</v>
      </c>
      <c r="BB14" s="16">
        <f t="shared" si="3"/>
        <v>-0.78497097370028135</v>
      </c>
    </row>
    <row r="15" spans="1:54" x14ac:dyDescent="0.25">
      <c r="A15" s="2" t="s">
        <v>64</v>
      </c>
      <c r="B15" s="2" t="s">
        <v>65</v>
      </c>
      <c r="C15" s="3">
        <v>1E-3</v>
      </c>
      <c r="D15" s="3">
        <v>0.3</v>
      </c>
      <c r="E15" s="2" t="s">
        <v>54</v>
      </c>
      <c r="F15" s="3">
        <v>1</v>
      </c>
      <c r="G15" s="2" t="s">
        <v>51</v>
      </c>
      <c r="H15" s="2" t="s">
        <v>68</v>
      </c>
      <c r="I15" s="2">
        <v>171</v>
      </c>
      <c r="J15" s="2">
        <v>3</v>
      </c>
      <c r="K15" s="2">
        <v>180</v>
      </c>
      <c r="L15" s="2">
        <v>156</v>
      </c>
      <c r="M15" s="2">
        <v>0.91200000000000003</v>
      </c>
      <c r="N15" s="2">
        <v>1</v>
      </c>
      <c r="O15" s="2">
        <v>1</v>
      </c>
      <c r="P15" s="2">
        <v>3818</v>
      </c>
      <c r="Q15" s="2">
        <v>3788</v>
      </c>
      <c r="R15" s="4">
        <v>2.0181102752685551</v>
      </c>
      <c r="S15" s="4">
        <v>2.7141978740692139</v>
      </c>
      <c r="T15" s="4"/>
      <c r="U15" s="4"/>
      <c r="V15" s="4"/>
      <c r="W15" s="4">
        <v>0.43847963213920588</v>
      </c>
      <c r="X15" s="5">
        <v>64.947716756999398</v>
      </c>
      <c r="Y15" s="5">
        <v>406.50289562400212</v>
      </c>
      <c r="Z15" s="3">
        <v>0.41377728684454451</v>
      </c>
      <c r="AA15" s="3">
        <v>0.32400000000000001</v>
      </c>
      <c r="AB15" s="3">
        <v>0.51100000000000001</v>
      </c>
      <c r="AC15" s="3">
        <v>9.4798573991280001E-4</v>
      </c>
      <c r="AD15" s="3">
        <v>0.326398104429245</v>
      </c>
      <c r="AE15" s="3">
        <v>4.7419317066669402E-2</v>
      </c>
      <c r="AF15" s="2">
        <v>1</v>
      </c>
      <c r="AG15" s="3">
        <v>0.39727148413658142</v>
      </c>
      <c r="AH15" s="3">
        <v>2.285051584243774</v>
      </c>
      <c r="AI15" s="3">
        <v>-1.4590309858322139</v>
      </c>
      <c r="AJ15" s="3">
        <v>0</v>
      </c>
      <c r="AK15" s="3">
        <v>-1.245706289743961</v>
      </c>
      <c r="AL15" s="3">
        <v>0.61465168737636877</v>
      </c>
      <c r="AM15" s="3">
        <v>0.22699093472231149</v>
      </c>
      <c r="AN15" s="3">
        <v>0.68726868325862189</v>
      </c>
      <c r="AO15" s="3">
        <v>-2.1006679244295099</v>
      </c>
      <c r="AP15" s="3">
        <v>0.6109961848541976</v>
      </c>
      <c r="AQ15" s="3">
        <v>0.25353554230092479</v>
      </c>
      <c r="AR15" s="3">
        <v>0.7114410228021657</v>
      </c>
      <c r="AS15" s="3">
        <v>-1.3191089344344329</v>
      </c>
      <c r="AT15" s="3">
        <v>0.56365668625529564</v>
      </c>
      <c r="AU15" s="3">
        <v>0.19858462747761729</v>
      </c>
      <c r="AV15" s="3">
        <v>0.80051248999586044</v>
      </c>
      <c r="AW15" s="3">
        <v>-0.89236227825537418</v>
      </c>
      <c r="AX15" s="3">
        <v>0.52497494678419154</v>
      </c>
      <c r="AY15" s="3">
        <v>0.37299778149200119</v>
      </c>
      <c r="AZ15" s="3">
        <v>0.25949649895219229</v>
      </c>
      <c r="BA15" s="16">
        <f t="shared" si="2"/>
        <v>6.6276737243252712E-2</v>
      </c>
      <c r="BB15" s="16">
        <f t="shared" si="3"/>
        <v>1.7955920295496344E-4</v>
      </c>
    </row>
    <row r="16" spans="1:54" x14ac:dyDescent="0.25">
      <c r="A16" s="2" t="s">
        <v>64</v>
      </c>
      <c r="B16" s="2" t="s">
        <v>65</v>
      </c>
      <c r="C16" s="3">
        <v>1E-3</v>
      </c>
      <c r="D16" s="3">
        <v>0.3</v>
      </c>
      <c r="E16" s="2" t="s">
        <v>56</v>
      </c>
      <c r="F16" s="3">
        <v>1</v>
      </c>
      <c r="G16" s="2" t="s">
        <v>49</v>
      </c>
      <c r="H16" s="2" t="s">
        <v>69</v>
      </c>
      <c r="I16" s="2">
        <v>227</v>
      </c>
      <c r="J16" s="2">
        <v>3</v>
      </c>
      <c r="K16" s="2">
        <v>236</v>
      </c>
      <c r="L16" s="2">
        <v>156</v>
      </c>
      <c r="M16" s="2">
        <v>0.68700000000000006</v>
      </c>
      <c r="N16" s="2">
        <v>1</v>
      </c>
      <c r="O16" s="2">
        <v>0</v>
      </c>
      <c r="P16" s="2">
        <v>10000</v>
      </c>
      <c r="Q16" s="2">
        <v>2265</v>
      </c>
      <c r="R16" s="4">
        <v>6.0152649879455566</v>
      </c>
      <c r="S16" s="4">
        <v>4.3478139241536464</v>
      </c>
      <c r="T16" s="4"/>
      <c r="U16" s="4">
        <v>3.8491739432017011</v>
      </c>
      <c r="V16" s="4">
        <v>8.0121603012084961</v>
      </c>
      <c r="W16" s="4">
        <v>0.61453264951705933</v>
      </c>
      <c r="X16" s="5">
        <v>110.13859773900001</v>
      </c>
      <c r="Y16" s="5">
        <v>269.15931421199639</v>
      </c>
      <c r="Z16" s="3">
        <v>0.41377728684454451</v>
      </c>
      <c r="AA16" s="3">
        <v>0.32400000000000001</v>
      </c>
      <c r="AB16" s="3">
        <v>0.51100000000000001</v>
      </c>
      <c r="AC16" s="3">
        <v>1.5458491398021E-3</v>
      </c>
      <c r="AD16" s="3">
        <v>0.35680019855499268</v>
      </c>
      <c r="AE16" s="3">
        <v>0.21899421513080591</v>
      </c>
      <c r="AF16" s="2">
        <v>0</v>
      </c>
      <c r="AG16" s="3">
        <v>0.3322749137878418</v>
      </c>
      <c r="AH16" s="3">
        <v>10.946279525756839</v>
      </c>
      <c r="AI16" s="3">
        <v>0</v>
      </c>
      <c r="AJ16" s="3">
        <v>0</v>
      </c>
      <c r="AK16" s="3">
        <v>-2.9680900489394562</v>
      </c>
      <c r="AL16" s="3">
        <v>-0.1132609770098278</v>
      </c>
      <c r="AM16" s="3">
        <v>4.4122430976391597E-2</v>
      </c>
      <c r="AN16" s="3">
        <v>0.96676915381523443</v>
      </c>
      <c r="AO16" s="3">
        <v>-3.182611524224733</v>
      </c>
      <c r="AP16" s="3">
        <v>-0.1056703617023404</v>
      </c>
      <c r="AQ16" s="3">
        <v>8.8993057552493003E-3</v>
      </c>
      <c r="AR16" s="3">
        <v>0.95654889039591662</v>
      </c>
      <c r="AS16" s="3">
        <v>-3.02246613202268</v>
      </c>
      <c r="AT16" s="3">
        <v>-0.11941834882380691</v>
      </c>
      <c r="AU16" s="3">
        <v>-2.3263527882954702E-2</v>
      </c>
      <c r="AV16" s="3">
        <v>0.93030626125813476</v>
      </c>
      <c r="AW16" s="3">
        <v>-3.1062101179404409</v>
      </c>
      <c r="AX16" s="3">
        <v>-2.4221988555564562</v>
      </c>
      <c r="AY16" s="3">
        <v>0.12924202202718599</v>
      </c>
      <c r="AZ16" s="3">
        <v>-7.7527234762173297E-2</v>
      </c>
      <c r="BA16" s="16">
        <f t="shared" si="2"/>
        <v>-1.3691735465579711</v>
      </c>
      <c r="BB16" s="16">
        <f t="shared" si="3"/>
        <v>-0.55234457320040586</v>
      </c>
    </row>
    <row r="17" spans="1:54" x14ac:dyDescent="0.25">
      <c r="A17" s="2" t="s">
        <v>64</v>
      </c>
      <c r="B17" s="2" t="s">
        <v>65</v>
      </c>
      <c r="C17" s="3">
        <v>1E-3</v>
      </c>
      <c r="D17" s="3">
        <v>0.3</v>
      </c>
      <c r="E17" s="2" t="s">
        <v>56</v>
      </c>
      <c r="F17" s="3">
        <v>1</v>
      </c>
      <c r="G17" s="2" t="s">
        <v>51</v>
      </c>
      <c r="H17" s="2" t="s">
        <v>69</v>
      </c>
      <c r="I17" s="2">
        <v>227</v>
      </c>
      <c r="J17" s="2">
        <v>3</v>
      </c>
      <c r="K17" s="2">
        <v>236</v>
      </c>
      <c r="L17" s="2">
        <v>156</v>
      </c>
      <c r="M17" s="2">
        <v>0.68700000000000006</v>
      </c>
      <c r="N17" s="2">
        <v>1</v>
      </c>
      <c r="O17" s="2">
        <v>0</v>
      </c>
      <c r="P17" s="2">
        <v>10000</v>
      </c>
      <c r="Q17" s="2">
        <v>7653</v>
      </c>
      <c r="R17" s="4">
        <v>3.652309894561768</v>
      </c>
      <c r="S17" s="4">
        <v>3.9388350645701089</v>
      </c>
      <c r="T17" s="4"/>
      <c r="U17" s="4">
        <v>3.7623271147410069</v>
      </c>
      <c r="V17" s="4">
        <v>3.9135830402374259</v>
      </c>
      <c r="W17" s="4">
        <v>0.55724853277206421</v>
      </c>
      <c r="X17" s="5">
        <v>122.14587390899941</v>
      </c>
      <c r="Y17" s="5">
        <v>1026.565758612996</v>
      </c>
      <c r="Z17" s="3">
        <v>0.41377728684454451</v>
      </c>
      <c r="AA17" s="3">
        <v>0.32400000000000001</v>
      </c>
      <c r="AB17" s="3">
        <v>0.51100000000000001</v>
      </c>
      <c r="AC17" s="3">
        <v>1.3117028865962999E-3</v>
      </c>
      <c r="AD17" s="3">
        <v>0.31131398677825928</v>
      </c>
      <c r="AE17" s="3">
        <v>2.4354780092835399E-2</v>
      </c>
      <c r="AF17" s="2">
        <v>1</v>
      </c>
      <c r="AG17" s="3">
        <v>0.28091868758201599</v>
      </c>
      <c r="AH17" s="3">
        <v>9.7523880004882795</v>
      </c>
      <c r="AI17" s="3">
        <v>-0.93352621793746959</v>
      </c>
      <c r="AJ17" s="3">
        <v>0</v>
      </c>
      <c r="AK17" s="3">
        <v>-2.1053504817597539</v>
      </c>
      <c r="AL17" s="3">
        <v>7.8145957175279099E-2</v>
      </c>
      <c r="AM17" s="3">
        <v>0.3602534697832388</v>
      </c>
      <c r="AN17" s="3">
        <v>3.08897650727365E-2</v>
      </c>
      <c r="AO17" s="3">
        <v>-2.7014298760534108</v>
      </c>
      <c r="AP17" s="3">
        <v>8.2664508500074105E-2</v>
      </c>
      <c r="AQ17" s="3">
        <v>0.34271203297727088</v>
      </c>
      <c r="AR17" s="3">
        <v>-0.46694030029986638</v>
      </c>
      <c r="AS17" s="3">
        <v>-2.172575759455659</v>
      </c>
      <c r="AT17" s="3">
        <v>2.4865119552773301E-2</v>
      </c>
      <c r="AU17" s="3">
        <v>0.39599470864299779</v>
      </c>
      <c r="AV17" s="3">
        <v>1.33568899604167E-2</v>
      </c>
      <c r="AW17" s="3">
        <v>-1.63965193034596</v>
      </c>
      <c r="AX17" s="3">
        <v>-1.1753510581925279</v>
      </c>
      <c r="AY17" s="3">
        <v>0.57387082695731118</v>
      </c>
      <c r="AZ17" s="3">
        <v>0.4376553262598058</v>
      </c>
      <c r="BA17" s="16">
        <f t="shared" si="2"/>
        <v>-0.45086920883034287</v>
      </c>
      <c r="BB17" s="16">
        <f t="shared" si="3"/>
        <v>-0.5097844971586587</v>
      </c>
    </row>
    <row r="18" spans="1:54" x14ac:dyDescent="0.25">
      <c r="A18" s="2" t="s">
        <v>64</v>
      </c>
      <c r="B18" s="2" t="s">
        <v>65</v>
      </c>
      <c r="C18" s="3">
        <v>0.01</v>
      </c>
      <c r="D18" s="3">
        <v>0.1</v>
      </c>
      <c r="E18" s="2" t="s">
        <v>48</v>
      </c>
      <c r="F18" s="3">
        <v>1</v>
      </c>
      <c r="G18" s="2" t="s">
        <v>49</v>
      </c>
      <c r="H18" s="2" t="s">
        <v>66</v>
      </c>
      <c r="I18" s="2">
        <v>43</v>
      </c>
      <c r="J18" s="2">
        <v>3</v>
      </c>
      <c r="K18" s="2">
        <v>52</v>
      </c>
      <c r="L18" s="2">
        <v>156</v>
      </c>
      <c r="M18" s="2">
        <v>3.6280000000000001</v>
      </c>
      <c r="N18" s="2">
        <v>1</v>
      </c>
      <c r="O18" s="2">
        <v>0</v>
      </c>
      <c r="P18" s="2">
        <v>10000</v>
      </c>
      <c r="Q18" s="2">
        <v>1</v>
      </c>
      <c r="R18" s="4">
        <v>7.5508613586425781</v>
      </c>
      <c r="S18" s="4">
        <v>9.9450267155965175</v>
      </c>
      <c r="T18" s="4"/>
      <c r="U18" s="4">
        <v>4.3229274749755859</v>
      </c>
      <c r="V18" s="4">
        <v>8.5565967559814453</v>
      </c>
      <c r="W18" s="4">
        <v>2.1506881341338099E-2</v>
      </c>
      <c r="X18" s="5">
        <v>90.320314174000046</v>
      </c>
      <c r="Y18" s="5">
        <v>116.4641518009998</v>
      </c>
      <c r="Z18" s="3">
        <v>0.41377728684454451</v>
      </c>
      <c r="AA18" s="3">
        <v>0.32400000000000001</v>
      </c>
      <c r="AB18" s="3">
        <v>0.51100000000000001</v>
      </c>
      <c r="AC18" s="3">
        <v>1.1437003267928E-3</v>
      </c>
      <c r="AD18" s="3">
        <v>0.34303981065750122</v>
      </c>
      <c r="AE18" s="3">
        <v>7.1793128736317002E-3</v>
      </c>
      <c r="AF18" s="2">
        <v>0</v>
      </c>
      <c r="AG18" s="3">
        <v>8.1086233258247306E-2</v>
      </c>
      <c r="AH18" s="3">
        <v>24.158683776855469</v>
      </c>
      <c r="AI18" s="3">
        <v>0</v>
      </c>
      <c r="AJ18" s="3">
        <v>0</v>
      </c>
      <c r="AK18" s="3">
        <v>-3.1675375865289919</v>
      </c>
      <c r="AL18" s="3">
        <v>-1.6443870332757811</v>
      </c>
      <c r="AM18" s="3">
        <v>-0.52774024472253522</v>
      </c>
      <c r="AN18" s="3">
        <v>-1.660321613432137</v>
      </c>
      <c r="AO18" s="3">
        <v>-3.442527669241358</v>
      </c>
      <c r="AP18" s="3">
        <v>-3.000301102423844</v>
      </c>
      <c r="AQ18" s="3">
        <v>-0.35563542511906981</v>
      </c>
      <c r="AR18" s="3">
        <v>-1.7911928640488071</v>
      </c>
      <c r="AS18" s="3">
        <v>-3.2437038671922158</v>
      </c>
      <c r="AT18" s="3">
        <v>-2.7063193557937959</v>
      </c>
      <c r="AU18" s="3">
        <v>-0.48504500234073</v>
      </c>
      <c r="AV18" s="3">
        <v>-1.645584295846457</v>
      </c>
      <c r="AW18" s="3">
        <v>-3.1030601010730008</v>
      </c>
      <c r="AX18" s="3">
        <v>-2.344101616024802</v>
      </c>
      <c r="AY18" s="3">
        <v>-0.63781683878276652</v>
      </c>
      <c r="AZ18" s="3">
        <v>-1.801870876937681</v>
      </c>
      <c r="BA18" s="16">
        <f t="shared" si="2"/>
        <v>-1.9717123582045626</v>
      </c>
      <c r="BB18" s="16">
        <f t="shared" si="3"/>
        <v>-1.9725246716638101</v>
      </c>
    </row>
    <row r="19" spans="1:54" x14ac:dyDescent="0.25">
      <c r="A19" s="2" t="s">
        <v>64</v>
      </c>
      <c r="B19" s="2" t="s">
        <v>65</v>
      </c>
      <c r="C19" s="3">
        <v>0.01</v>
      </c>
      <c r="D19" s="3">
        <v>0.1</v>
      </c>
      <c r="E19" s="2" t="s">
        <v>48</v>
      </c>
      <c r="F19" s="3">
        <v>1</v>
      </c>
      <c r="G19" s="2" t="s">
        <v>51</v>
      </c>
      <c r="H19" s="2" t="s">
        <v>66</v>
      </c>
      <c r="I19" s="2">
        <v>43</v>
      </c>
      <c r="J19" s="2">
        <v>3</v>
      </c>
      <c r="K19" s="2">
        <v>52</v>
      </c>
      <c r="L19" s="2">
        <v>156</v>
      </c>
      <c r="M19" s="2">
        <v>3.6280000000000001</v>
      </c>
      <c r="N19" s="2">
        <v>1</v>
      </c>
      <c r="O19" s="2">
        <v>0</v>
      </c>
      <c r="P19" s="2">
        <v>10000</v>
      </c>
      <c r="Q19" s="2">
        <v>3291</v>
      </c>
      <c r="R19" s="4">
        <v>2.0789446830749512</v>
      </c>
      <c r="S19" s="4">
        <v>3.1006867090861001</v>
      </c>
      <c r="T19" s="4"/>
      <c r="U19" s="4">
        <v>4.3229271570841474</v>
      </c>
      <c r="V19" s="4">
        <v>8.5565948486328125</v>
      </c>
      <c r="W19" s="4">
        <v>0.23630532622337341</v>
      </c>
      <c r="X19" s="5">
        <v>92.173233049999993</v>
      </c>
      <c r="Y19" s="5">
        <v>145.4020938409999</v>
      </c>
      <c r="Z19" s="3">
        <v>0.41377728684454451</v>
      </c>
      <c r="AA19" s="3">
        <v>0.32400000000000001</v>
      </c>
      <c r="AB19" s="3">
        <v>0.51100000000000001</v>
      </c>
      <c r="AC19" s="3">
        <v>5.4344034288070003E-4</v>
      </c>
      <c r="AD19" s="3">
        <v>0.1609120219945907</v>
      </c>
      <c r="AE19" s="3">
        <v>8.3453794941305993E-3</v>
      </c>
      <c r="AF19" s="2">
        <v>0</v>
      </c>
      <c r="AG19" s="3">
        <v>0.40000000596046448</v>
      </c>
      <c r="AH19" s="3">
        <v>4.4586200714111328</v>
      </c>
      <c r="AI19" s="3">
        <v>0</v>
      </c>
      <c r="AJ19" s="3">
        <v>0</v>
      </c>
      <c r="AK19" s="3">
        <v>0.92109033145570085</v>
      </c>
      <c r="AL19" s="3">
        <v>0.71132273268038126</v>
      </c>
      <c r="AM19" s="3">
        <v>-0.58110384038519092</v>
      </c>
      <c r="AN19" s="3">
        <v>0.89294632150427189</v>
      </c>
      <c r="AO19" s="3">
        <v>0.82296047669402894</v>
      </c>
      <c r="AP19" s="3">
        <v>0.88438513468279223</v>
      </c>
      <c r="AQ19" s="3">
        <v>-0.47497146011319308</v>
      </c>
      <c r="AR19" s="3">
        <v>0.89005966232007072</v>
      </c>
      <c r="AS19" s="3">
        <v>0.68874082527991543</v>
      </c>
      <c r="AT19" s="3">
        <v>0.62705973310588226</v>
      </c>
      <c r="AU19" s="3">
        <v>-0.87145108871476706</v>
      </c>
      <c r="AV19" s="3">
        <v>0.86136880467741739</v>
      </c>
      <c r="AW19" s="3">
        <v>0.81993623986371644</v>
      </c>
      <c r="AX19" s="3">
        <v>0.90498722854180524</v>
      </c>
      <c r="AY19" s="3">
        <v>-1.1073897722428609</v>
      </c>
      <c r="AZ19" s="3">
        <v>0.95091089913503324</v>
      </c>
      <c r="BA19" s="16">
        <f t="shared" si="2"/>
        <v>0.39211114882442349</v>
      </c>
      <c r="BB19" s="16">
        <f t="shared" si="3"/>
        <v>0.44770063609894256</v>
      </c>
    </row>
    <row r="20" spans="1:54" x14ac:dyDescent="0.25">
      <c r="A20" s="2" t="s">
        <v>64</v>
      </c>
      <c r="B20" s="2" t="s">
        <v>65</v>
      </c>
      <c r="C20" s="3">
        <v>0.01</v>
      </c>
      <c r="D20" s="3">
        <v>0.1</v>
      </c>
      <c r="E20" s="2" t="s">
        <v>52</v>
      </c>
      <c r="F20" s="3">
        <v>1</v>
      </c>
      <c r="G20" s="2" t="s">
        <v>49</v>
      </c>
      <c r="H20" s="2" t="s">
        <v>67</v>
      </c>
      <c r="I20" s="2">
        <v>73</v>
      </c>
      <c r="J20" s="2">
        <v>3</v>
      </c>
      <c r="K20" s="2">
        <v>82</v>
      </c>
      <c r="L20" s="2">
        <v>156</v>
      </c>
      <c r="M20" s="2">
        <v>2.137</v>
      </c>
      <c r="N20" s="2">
        <v>1</v>
      </c>
      <c r="O20" s="2">
        <v>1</v>
      </c>
      <c r="P20" s="2">
        <v>549</v>
      </c>
      <c r="Q20" s="2">
        <v>192</v>
      </c>
      <c r="R20" s="4">
        <v>6.1261663436889648</v>
      </c>
      <c r="S20" s="4">
        <v>4.1786934534708662</v>
      </c>
      <c r="T20" s="4"/>
      <c r="U20" s="4"/>
      <c r="V20" s="4"/>
      <c r="W20" s="4">
        <v>0.6385188102722168</v>
      </c>
      <c r="X20" s="5">
        <v>36.005509127000039</v>
      </c>
      <c r="Y20" s="5">
        <v>38.9695978499999</v>
      </c>
      <c r="Z20" s="3">
        <v>0.41377728684454451</v>
      </c>
      <c r="AA20" s="3">
        <v>0.32400000000000001</v>
      </c>
      <c r="AB20" s="3">
        <v>0.51100000000000001</v>
      </c>
      <c r="AC20" s="3">
        <v>6.4230285352089998E-4</v>
      </c>
      <c r="AD20" s="3">
        <v>0.23011769354343409</v>
      </c>
      <c r="AE20" s="3">
        <v>0.1778309494256973</v>
      </c>
      <c r="AF20" s="2">
        <v>0</v>
      </c>
      <c r="AG20" s="3">
        <v>0.3703276515007019</v>
      </c>
      <c r="AH20" s="3">
        <v>11.060624122619631</v>
      </c>
      <c r="AI20" s="3">
        <v>0</v>
      </c>
      <c r="AJ20" s="3">
        <v>0</v>
      </c>
      <c r="AK20" s="3">
        <v>-2.8927895995596322</v>
      </c>
      <c r="AL20" s="3">
        <v>-5.2352436102281498E-2</v>
      </c>
      <c r="AM20" s="3">
        <v>9.1551876309735797E-2</v>
      </c>
      <c r="AN20" s="3">
        <v>0.96378314004746801</v>
      </c>
      <c r="AO20" s="3">
        <v>-3.09934193429903</v>
      </c>
      <c r="AP20" s="3">
        <v>-9.8508066871089595E-2</v>
      </c>
      <c r="AQ20" s="3">
        <v>8.4581816117794403E-2</v>
      </c>
      <c r="AR20" s="3">
        <v>0.94726105575347364</v>
      </c>
      <c r="AS20" s="3">
        <v>-2.9222628454076789</v>
      </c>
      <c r="AT20" s="3">
        <v>-0.1128925117405539</v>
      </c>
      <c r="AU20" s="3">
        <v>6.4930796987551595E-2</v>
      </c>
      <c r="AV20" s="3">
        <v>0.94447292859002241</v>
      </c>
      <c r="AW20" s="3">
        <v>-3.098995040278989</v>
      </c>
      <c r="AX20" s="3">
        <v>-2.3520252934473982</v>
      </c>
      <c r="AY20" s="3">
        <v>5.7105537976816598E-2</v>
      </c>
      <c r="AZ20" s="3">
        <v>-0.29711111826802927</v>
      </c>
      <c r="BA20" s="16">
        <f t="shared" si="2"/>
        <v>-1.4227564785043998</v>
      </c>
      <c r="BB20" s="16">
        <f t="shared" si="3"/>
        <v>-0.50679714834785161</v>
      </c>
    </row>
    <row r="21" spans="1:54" x14ac:dyDescent="0.25">
      <c r="A21" s="2" t="s">
        <v>64</v>
      </c>
      <c r="B21" s="2" t="s">
        <v>65</v>
      </c>
      <c r="C21" s="3">
        <v>0.01</v>
      </c>
      <c r="D21" s="3">
        <v>0.1</v>
      </c>
      <c r="E21" s="2" t="s">
        <v>52</v>
      </c>
      <c r="F21" s="3">
        <v>1</v>
      </c>
      <c r="G21" s="2" t="s">
        <v>51</v>
      </c>
      <c r="H21" s="2" t="s">
        <v>67</v>
      </c>
      <c r="I21" s="2">
        <v>73</v>
      </c>
      <c r="J21" s="2">
        <v>3</v>
      </c>
      <c r="K21" s="2">
        <v>82</v>
      </c>
      <c r="L21" s="2">
        <v>156</v>
      </c>
      <c r="M21" s="2">
        <v>2.137</v>
      </c>
      <c r="N21" s="2">
        <v>1</v>
      </c>
      <c r="O21" s="2">
        <v>1</v>
      </c>
      <c r="P21" s="2">
        <v>46</v>
      </c>
      <c r="Q21" s="2">
        <v>8</v>
      </c>
      <c r="R21" s="4">
        <v>1.0371131896972661</v>
      </c>
      <c r="S21" s="4">
        <v>3.706632812817892</v>
      </c>
      <c r="T21" s="4"/>
      <c r="U21" s="4">
        <v>1.0817441795781161E+19</v>
      </c>
      <c r="V21" s="4">
        <v>2.6073734760284419</v>
      </c>
      <c r="W21" s="4">
        <v>0.1449206471443176</v>
      </c>
      <c r="X21" s="5">
        <v>32.472531748999977</v>
      </c>
      <c r="Y21" s="5">
        <v>29.418077507000131</v>
      </c>
      <c r="Z21" s="3">
        <v>0.41377728684454451</v>
      </c>
      <c r="AA21" s="3">
        <v>0.32400000000000001</v>
      </c>
      <c r="AB21" s="3">
        <v>0.51100000000000001</v>
      </c>
      <c r="AC21" s="3">
        <v>1.171683310531E-3</v>
      </c>
      <c r="AD21" s="3">
        <v>0.37051627039909357</v>
      </c>
      <c r="AE21" s="3">
        <v>8.0733923241495999E-3</v>
      </c>
      <c r="AF21" s="2">
        <v>0</v>
      </c>
      <c r="AG21" s="3">
        <v>5.9722293168306302E-2</v>
      </c>
      <c r="AH21" s="3">
        <v>3.484866619110107</v>
      </c>
      <c r="AI21" s="3">
        <v>0</v>
      </c>
      <c r="AJ21" s="3">
        <v>0</v>
      </c>
      <c r="AK21" s="3">
        <v>0.61353745853585928</v>
      </c>
      <c r="AL21" s="3">
        <v>0.85102659541841474</v>
      </c>
      <c r="AM21" s="3">
        <v>3.4405750907486203E-2</v>
      </c>
      <c r="AN21" s="3">
        <v>0.93080539311013255</v>
      </c>
      <c r="AO21" s="3">
        <v>-1.507456864149564</v>
      </c>
      <c r="AP21" s="3">
        <v>-0.472044523608736</v>
      </c>
      <c r="AQ21" s="3">
        <v>-0.39755883906854889</v>
      </c>
      <c r="AR21" s="3">
        <v>9.0624323940631496E-2</v>
      </c>
      <c r="AS21" s="3">
        <v>0.24604972454789029</v>
      </c>
      <c r="AT21" s="3">
        <v>0.56217102629916682</v>
      </c>
      <c r="AU21" s="3">
        <v>-0.35341781774573161</v>
      </c>
      <c r="AV21" s="3">
        <v>0.78596922610315878</v>
      </c>
      <c r="AW21" s="3">
        <v>0.96190784298005461</v>
      </c>
      <c r="AX21" s="3">
        <v>0.78769425124058601</v>
      </c>
      <c r="AY21" s="3">
        <v>0.1372648027437858</v>
      </c>
      <c r="AZ21" s="3">
        <v>0.93147395961170243</v>
      </c>
      <c r="BA21" s="16">
        <f t="shared" si="2"/>
        <v>0.70458521414403219</v>
      </c>
      <c r="BB21" s="16">
        <f t="shared" si="3"/>
        <v>0.11534262119084665</v>
      </c>
    </row>
    <row r="22" spans="1:54" x14ac:dyDescent="0.25">
      <c r="A22" s="2" t="s">
        <v>64</v>
      </c>
      <c r="B22" s="2" t="s">
        <v>65</v>
      </c>
      <c r="C22" s="3">
        <v>0.01</v>
      </c>
      <c r="D22" s="3">
        <v>0.1</v>
      </c>
      <c r="E22" s="2" t="s">
        <v>54</v>
      </c>
      <c r="F22" s="3">
        <v>1</v>
      </c>
      <c r="G22" s="2" t="s">
        <v>49</v>
      </c>
      <c r="H22" s="2" t="s">
        <v>68</v>
      </c>
      <c r="I22" s="2">
        <v>171</v>
      </c>
      <c r="J22" s="2">
        <v>3</v>
      </c>
      <c r="K22" s="2">
        <v>180</v>
      </c>
      <c r="L22" s="2">
        <v>156</v>
      </c>
      <c r="M22" s="2">
        <v>0.91200000000000003</v>
      </c>
      <c r="N22" s="2">
        <v>1</v>
      </c>
      <c r="O22" s="2">
        <v>0</v>
      </c>
      <c r="P22" s="2">
        <v>10000</v>
      </c>
      <c r="Q22" s="2">
        <v>80</v>
      </c>
      <c r="R22" s="4">
        <v>6.3947787284851074</v>
      </c>
      <c r="S22" s="4">
        <v>4.544329484303792</v>
      </c>
      <c r="T22" s="4"/>
      <c r="U22" s="4">
        <v>4.3229287465413408</v>
      </c>
      <c r="V22" s="4">
        <v>8.5565967559814453</v>
      </c>
      <c r="W22" s="4">
        <v>0.62740987539291382</v>
      </c>
      <c r="X22" s="5">
        <v>102.13087894900001</v>
      </c>
      <c r="Y22" s="5">
        <v>129.3342424050002</v>
      </c>
      <c r="Z22" s="3">
        <v>0.41377728684454451</v>
      </c>
      <c r="AA22" s="3">
        <v>0.32400000000000001</v>
      </c>
      <c r="AB22" s="3">
        <v>0.51100000000000001</v>
      </c>
      <c r="AC22" s="3">
        <v>9.7503094002599996E-4</v>
      </c>
      <c r="AD22" s="3">
        <v>0.1954087615013122</v>
      </c>
      <c r="AE22" s="3">
        <v>0.14379981160163879</v>
      </c>
      <c r="AF22" s="2">
        <v>0</v>
      </c>
      <c r="AG22" s="3">
        <v>0.35583275556564331</v>
      </c>
      <c r="AH22" s="3">
        <v>12.42852878570557</v>
      </c>
      <c r="AI22" s="3">
        <v>0</v>
      </c>
      <c r="AJ22" s="3">
        <v>0</v>
      </c>
      <c r="AK22" s="3">
        <v>-2.814727157725887</v>
      </c>
      <c r="AL22" s="3">
        <v>-9.1398975467079799E-2</v>
      </c>
      <c r="AM22" s="3">
        <v>-2.0154326828406701E-2</v>
      </c>
      <c r="AN22" s="3">
        <v>0.95996806003817436</v>
      </c>
      <c r="AO22" s="3">
        <v>-3.0145477548188611</v>
      </c>
      <c r="AP22" s="3">
        <v>-0.2454357394890973</v>
      </c>
      <c r="AQ22" s="3">
        <v>-0.13944044217217369</v>
      </c>
      <c r="AR22" s="3">
        <v>0.95112691369119162</v>
      </c>
      <c r="AS22" s="3">
        <v>-2.8746671939172721</v>
      </c>
      <c r="AT22" s="3">
        <v>-0.1810206113305412</v>
      </c>
      <c r="AU22" s="3">
        <v>-2.3211941226141099E-2</v>
      </c>
      <c r="AV22" s="3">
        <v>0.92016283705704782</v>
      </c>
      <c r="AW22" s="3">
        <v>-3.1017099459007009</v>
      </c>
      <c r="AX22" s="3">
        <v>-2.4020709349747178</v>
      </c>
      <c r="AY22" s="3">
        <v>-2.5949911641921199E-2</v>
      </c>
      <c r="AZ22" s="3">
        <v>-0.56550875030063041</v>
      </c>
      <c r="BA22" s="16">
        <f t="shared" si="2"/>
        <v>-1.5238098857044924</v>
      </c>
      <c r="BB22" s="16">
        <f t="shared" si="3"/>
        <v>-0.5477788610157539</v>
      </c>
    </row>
    <row r="23" spans="1:54" x14ac:dyDescent="0.25">
      <c r="A23" s="2" t="s">
        <v>64</v>
      </c>
      <c r="B23" s="2" t="s">
        <v>65</v>
      </c>
      <c r="C23" s="3">
        <v>0.01</v>
      </c>
      <c r="D23" s="3">
        <v>0.1</v>
      </c>
      <c r="E23" s="2" t="s">
        <v>54</v>
      </c>
      <c r="F23" s="3">
        <v>1</v>
      </c>
      <c r="G23" s="2" t="s">
        <v>51</v>
      </c>
      <c r="H23" s="2" t="s">
        <v>68</v>
      </c>
      <c r="I23" s="2">
        <v>171</v>
      </c>
      <c r="J23" s="2">
        <v>3</v>
      </c>
      <c r="K23" s="2">
        <v>180</v>
      </c>
      <c r="L23" s="2">
        <v>156</v>
      </c>
      <c r="M23" s="2">
        <v>0.91200000000000003</v>
      </c>
      <c r="N23" s="2">
        <v>1</v>
      </c>
      <c r="O23" s="2">
        <v>1</v>
      </c>
      <c r="P23" s="2">
        <v>80</v>
      </c>
      <c r="Q23" s="2">
        <v>66</v>
      </c>
      <c r="R23" s="4">
        <v>2.4045453071594238</v>
      </c>
      <c r="S23" s="4">
        <v>3.310539325078329</v>
      </c>
      <c r="T23" s="4"/>
      <c r="U23" s="4">
        <v>1.4591933712345489E+20</v>
      </c>
      <c r="V23" s="4">
        <v>3.353338479995728</v>
      </c>
      <c r="W23" s="4">
        <v>8.5762120783328996E-2</v>
      </c>
      <c r="X23" s="5">
        <v>37.204007008999952</v>
      </c>
      <c r="Y23" s="5">
        <v>35.528992219999957</v>
      </c>
      <c r="Z23" s="3">
        <v>0.41377728684454451</v>
      </c>
      <c r="AA23" s="3">
        <v>0.32400000000000001</v>
      </c>
      <c r="AB23" s="3">
        <v>0.51100000000000001</v>
      </c>
      <c r="AC23" s="3">
        <v>1.0499800555408001E-3</v>
      </c>
      <c r="AD23" s="3">
        <v>0.29223927855491638</v>
      </c>
      <c r="AE23" s="3">
        <v>7.2190728969871998E-3</v>
      </c>
      <c r="AF23" s="2">
        <v>0</v>
      </c>
      <c r="AG23" s="3">
        <v>9.7317770123481695E-2</v>
      </c>
      <c r="AH23" s="3">
        <v>6.1602039337158203</v>
      </c>
      <c r="AI23" s="3">
        <v>0</v>
      </c>
      <c r="AJ23" s="3">
        <v>0</v>
      </c>
      <c r="AK23" s="3">
        <v>0.76381561219569216</v>
      </c>
      <c r="AL23" s="3">
        <v>0.78133540016421943</v>
      </c>
      <c r="AM23" s="3">
        <v>-0.58110384038519092</v>
      </c>
      <c r="AN23" s="3">
        <v>0.84319825008697358</v>
      </c>
      <c r="AO23" s="3">
        <v>0.32421620533903811</v>
      </c>
      <c r="AP23" s="3">
        <v>0.73367525042330817</v>
      </c>
      <c r="AQ23" s="3">
        <v>-0.47497146011319308</v>
      </c>
      <c r="AR23" s="3">
        <v>0.72755189537746179</v>
      </c>
      <c r="AS23" s="3">
        <v>0.61788173278784575</v>
      </c>
      <c r="AT23" s="3">
        <v>0.58328028431714762</v>
      </c>
      <c r="AU23" s="3">
        <v>-0.87145108871476706</v>
      </c>
      <c r="AV23" s="3">
        <v>0.75162347846115074</v>
      </c>
      <c r="AW23" s="3">
        <v>0.71897556630227455</v>
      </c>
      <c r="AX23" s="3">
        <v>0.63570916026515834</v>
      </c>
      <c r="AY23" s="3">
        <v>-1.1073897722428609</v>
      </c>
      <c r="AZ23" s="3">
        <v>0.8977497577063821</v>
      </c>
      <c r="BA23" s="16">
        <f t="shared" si="2"/>
        <v>0.28626117800773854</v>
      </c>
      <c r="BB23" s="16">
        <f t="shared" si="3"/>
        <v>0.34992097666164046</v>
      </c>
    </row>
    <row r="24" spans="1:54" x14ac:dyDescent="0.25">
      <c r="A24" s="2" t="s">
        <v>64</v>
      </c>
      <c r="B24" s="2" t="s">
        <v>65</v>
      </c>
      <c r="C24" s="3">
        <v>0.01</v>
      </c>
      <c r="D24" s="3">
        <v>0.1</v>
      </c>
      <c r="E24" s="2" t="s">
        <v>56</v>
      </c>
      <c r="F24" s="3">
        <v>1</v>
      </c>
      <c r="G24" s="2" t="s">
        <v>49</v>
      </c>
      <c r="H24" s="2" t="s">
        <v>69</v>
      </c>
      <c r="I24" s="2">
        <v>227</v>
      </c>
      <c r="J24" s="2">
        <v>3</v>
      </c>
      <c r="K24" s="2">
        <v>236</v>
      </c>
      <c r="L24" s="2">
        <v>156</v>
      </c>
      <c r="M24" s="2">
        <v>0.68700000000000006</v>
      </c>
      <c r="N24" s="2">
        <v>1</v>
      </c>
      <c r="O24" s="2">
        <v>1</v>
      </c>
      <c r="P24" s="2">
        <v>1</v>
      </c>
      <c r="Q24" s="2"/>
      <c r="R24" s="4"/>
      <c r="S24" s="4"/>
      <c r="T24" s="4"/>
      <c r="U24" s="4">
        <v>187.51440016428629</v>
      </c>
      <c r="V24" s="4"/>
      <c r="W24" s="4"/>
      <c r="X24" s="5">
        <v>25.813833745000011</v>
      </c>
      <c r="Y24" s="5">
        <v>23.097521289000269</v>
      </c>
      <c r="Z24" s="3">
        <v>0.41377728684454451</v>
      </c>
      <c r="AA24" s="3">
        <v>0.32400000000000001</v>
      </c>
      <c r="AB24" s="3">
        <v>0.51100000000000001</v>
      </c>
      <c r="AC24" s="3"/>
      <c r="AD24" s="3"/>
      <c r="AE24" s="3"/>
      <c r="AF24" s="2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16" t="e">
        <f t="shared" si="2"/>
        <v>#DIV/0!</v>
      </c>
      <c r="BB24" s="16" t="e">
        <f t="shared" si="3"/>
        <v>#DIV/0!</v>
      </c>
    </row>
    <row r="25" spans="1:54" x14ac:dyDescent="0.25">
      <c r="A25" s="2" t="s">
        <v>64</v>
      </c>
      <c r="B25" s="2" t="s">
        <v>65</v>
      </c>
      <c r="C25" s="3">
        <v>0.01</v>
      </c>
      <c r="D25" s="3">
        <v>0.1</v>
      </c>
      <c r="E25" s="2" t="s">
        <v>56</v>
      </c>
      <c r="F25" s="3">
        <v>1</v>
      </c>
      <c r="G25" s="2" t="s">
        <v>51</v>
      </c>
      <c r="H25" s="2" t="s">
        <v>69</v>
      </c>
      <c r="I25" s="2">
        <v>227</v>
      </c>
      <c r="J25" s="2">
        <v>3</v>
      </c>
      <c r="K25" s="2">
        <v>236</v>
      </c>
      <c r="L25" s="2">
        <v>156</v>
      </c>
      <c r="M25" s="2">
        <v>0.68700000000000006</v>
      </c>
      <c r="N25" s="2">
        <v>1</v>
      </c>
      <c r="O25" s="2">
        <v>0</v>
      </c>
      <c r="P25" s="2">
        <v>10000</v>
      </c>
      <c r="Q25" s="2">
        <v>583</v>
      </c>
      <c r="R25" s="4">
        <v>6.7953686714172363</v>
      </c>
      <c r="S25" s="4">
        <v>4.9943162600199376</v>
      </c>
      <c r="T25" s="4"/>
      <c r="U25" s="4">
        <v>4.3229281107584638</v>
      </c>
      <c r="V25" s="4">
        <v>8.5565967559814453</v>
      </c>
      <c r="W25" s="4">
        <v>0.61541330814361572</v>
      </c>
      <c r="X25" s="5">
        <v>107.51139304900001</v>
      </c>
      <c r="Y25" s="5">
        <v>135.11523617700001</v>
      </c>
      <c r="Z25" s="3">
        <v>0.41377728684454451</v>
      </c>
      <c r="AA25" s="3">
        <v>0.32400000000000001</v>
      </c>
      <c r="AB25" s="3">
        <v>0.51100000000000001</v>
      </c>
      <c r="AC25" s="3">
        <v>1.0604601120576E-3</v>
      </c>
      <c r="AD25" s="3">
        <v>0.31829017400741572</v>
      </c>
      <c r="AE25" s="3">
        <v>0.3375946581363678</v>
      </c>
      <c r="AF25" s="2">
        <v>0</v>
      </c>
      <c r="AG25" s="3">
        <v>0.22302278876304621</v>
      </c>
      <c r="AH25" s="3">
        <v>9.3632965087890625</v>
      </c>
      <c r="AI25" s="3">
        <v>0</v>
      </c>
      <c r="AJ25" s="3">
        <v>0</v>
      </c>
      <c r="AK25" s="3">
        <v>-3.0887313549626918</v>
      </c>
      <c r="AL25" s="3">
        <v>-1.9059903637918801E-2</v>
      </c>
      <c r="AM25" s="3">
        <v>-0.34449534410405902</v>
      </c>
      <c r="AN25" s="3">
        <v>0.96289631278437438</v>
      </c>
      <c r="AO25" s="3">
        <v>-3.3083724169628121</v>
      </c>
      <c r="AP25" s="3">
        <v>-1.8257770765907001E-2</v>
      </c>
      <c r="AQ25" s="3">
        <v>-0.47635229881156049</v>
      </c>
      <c r="AR25" s="3">
        <v>0.94743340892282801</v>
      </c>
      <c r="AS25" s="3">
        <v>-3.0940751127748891</v>
      </c>
      <c r="AT25" s="3">
        <v>-5.3275103343235701E-2</v>
      </c>
      <c r="AU25" s="3">
        <v>-0.43950770901232272</v>
      </c>
      <c r="AV25" s="3">
        <v>0.92237491133757121</v>
      </c>
      <c r="AW25" s="3">
        <v>-3.1023959432007131</v>
      </c>
      <c r="AX25" s="3">
        <v>-2.828439413264991</v>
      </c>
      <c r="AY25" s="3">
        <v>-0.66381499451608494</v>
      </c>
      <c r="AZ25" s="3">
        <v>0.55146682747761133</v>
      </c>
      <c r="BA25" s="16">
        <f t="shared" si="2"/>
        <v>-1.5107958808760444</v>
      </c>
      <c r="BB25" s="16">
        <f t="shared" si="3"/>
        <v>-0.66745186511088528</v>
      </c>
    </row>
    <row r="26" spans="1:54" x14ac:dyDescent="0.25">
      <c r="A26" s="2" t="s">
        <v>64</v>
      </c>
      <c r="B26" s="2" t="s">
        <v>65</v>
      </c>
      <c r="C26" s="3">
        <v>0.01</v>
      </c>
      <c r="D26" s="3">
        <v>0.3</v>
      </c>
      <c r="E26" s="2" t="s">
        <v>48</v>
      </c>
      <c r="F26" s="3">
        <v>1</v>
      </c>
      <c r="G26" s="2" t="s">
        <v>49</v>
      </c>
      <c r="H26" s="2" t="s">
        <v>66</v>
      </c>
      <c r="I26" s="2">
        <v>43</v>
      </c>
      <c r="J26" s="2">
        <v>3</v>
      </c>
      <c r="K26" s="2">
        <v>52</v>
      </c>
      <c r="L26" s="2">
        <v>156</v>
      </c>
      <c r="M26" s="2">
        <v>3.6280000000000001</v>
      </c>
      <c r="N26" s="2">
        <v>1</v>
      </c>
      <c r="O26" s="2">
        <v>1</v>
      </c>
      <c r="P26" s="2">
        <v>1</v>
      </c>
      <c r="Q26" s="2"/>
      <c r="R26" s="4"/>
      <c r="S26" s="4"/>
      <c r="T26" s="4"/>
      <c r="U26" s="4"/>
      <c r="V26" s="4"/>
      <c r="W26" s="4"/>
      <c r="X26" s="5">
        <v>16.170123970000081</v>
      </c>
      <c r="Y26" s="5">
        <v>14.21751988699998</v>
      </c>
      <c r="Z26" s="3">
        <v>0.41377728684454451</v>
      </c>
      <c r="AA26" s="3">
        <v>0.32400000000000001</v>
      </c>
      <c r="AB26" s="3">
        <v>0.51100000000000001</v>
      </c>
      <c r="AC26" s="3"/>
      <c r="AD26" s="3"/>
      <c r="AE26" s="3"/>
      <c r="AF26" s="2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16" t="e">
        <f t="shared" si="2"/>
        <v>#DIV/0!</v>
      </c>
      <c r="BB26" s="16" t="e">
        <f t="shared" si="3"/>
        <v>#DIV/0!</v>
      </c>
    </row>
    <row r="27" spans="1:54" x14ac:dyDescent="0.25">
      <c r="A27" s="2" t="s">
        <v>64</v>
      </c>
      <c r="B27" s="2" t="s">
        <v>65</v>
      </c>
      <c r="C27" s="3">
        <v>0.01</v>
      </c>
      <c r="D27" s="3">
        <v>0.3</v>
      </c>
      <c r="E27" s="2" t="s">
        <v>48</v>
      </c>
      <c r="F27" s="3">
        <v>1</v>
      </c>
      <c r="G27" s="2" t="s">
        <v>51</v>
      </c>
      <c r="H27" s="2" t="s">
        <v>66</v>
      </c>
      <c r="I27" s="2">
        <v>43</v>
      </c>
      <c r="J27" s="2">
        <v>3</v>
      </c>
      <c r="K27" s="2">
        <v>52</v>
      </c>
      <c r="L27" s="2">
        <v>156</v>
      </c>
      <c r="M27" s="2">
        <v>3.6280000000000001</v>
      </c>
      <c r="N27" s="2">
        <v>1</v>
      </c>
      <c r="O27" s="2">
        <v>1</v>
      </c>
      <c r="P27" s="2">
        <v>2422</v>
      </c>
      <c r="Q27" s="2">
        <v>2325</v>
      </c>
      <c r="R27" s="4">
        <v>5.1573019027709961</v>
      </c>
      <c r="S27" s="4">
        <v>4.0968432426452637</v>
      </c>
      <c r="T27" s="4"/>
      <c r="U27" s="4"/>
      <c r="V27" s="4"/>
      <c r="W27" s="4">
        <v>0.30439856648445129</v>
      </c>
      <c r="X27" s="5">
        <v>39.982801111000072</v>
      </c>
      <c r="Y27" s="5">
        <v>77.886606082999606</v>
      </c>
      <c r="Z27" s="3">
        <v>0.41377728684454451</v>
      </c>
      <c r="AA27" s="3">
        <v>0.32400000000000001</v>
      </c>
      <c r="AB27" s="3">
        <v>0.51100000000000001</v>
      </c>
      <c r="AC27" s="3">
        <v>4.7160402755249997E-4</v>
      </c>
      <c r="AD27" s="3">
        <v>0.202090248465538</v>
      </c>
      <c r="AE27" s="3">
        <v>0.1592639088630676</v>
      </c>
      <c r="AF27" s="2">
        <v>0</v>
      </c>
      <c r="AG27" s="3">
        <v>0.40000000596046448</v>
      </c>
      <c r="AH27" s="3">
        <v>7.4012479782104492</v>
      </c>
      <c r="AI27" s="3">
        <v>0</v>
      </c>
      <c r="AJ27" s="3">
        <v>0</v>
      </c>
      <c r="AK27" s="3">
        <v>-2.858705350262384</v>
      </c>
      <c r="AL27" s="3">
        <v>2.0206116567721501E-2</v>
      </c>
      <c r="AM27" s="3">
        <v>-1.5545474236252599E-2</v>
      </c>
      <c r="AN27" s="3">
        <v>0.95775691248553918</v>
      </c>
      <c r="AO27" s="3">
        <v>-3.0634521796106782</v>
      </c>
      <c r="AP27" s="3">
        <v>2.55700118093211E-2</v>
      </c>
      <c r="AQ27" s="3">
        <v>4.7420457616104798E-2</v>
      </c>
      <c r="AR27" s="3">
        <v>0.94562419868739001</v>
      </c>
      <c r="AS27" s="3">
        <v>-2.7794793799833171</v>
      </c>
      <c r="AT27" s="3">
        <v>5.5393614032490102E-2</v>
      </c>
      <c r="AU27" s="3">
        <v>5.8574307112787397E-2</v>
      </c>
      <c r="AV27" s="3">
        <v>0.88169756212875727</v>
      </c>
      <c r="AW27" s="3">
        <v>-2.4854377586070782</v>
      </c>
      <c r="AX27" s="3">
        <v>-1.0943409131477571</v>
      </c>
      <c r="AY27" s="3">
        <v>-0.87152878667959421</v>
      </c>
      <c r="AZ27" s="3">
        <v>0.40542374265661618</v>
      </c>
      <c r="BA27" s="16">
        <f t="shared" si="2"/>
        <v>-1.0114709289444532</v>
      </c>
      <c r="BB27" s="16">
        <f t="shared" si="3"/>
        <v>-0.47707826697104333</v>
      </c>
    </row>
    <row r="28" spans="1:54" x14ac:dyDescent="0.25">
      <c r="A28" s="2" t="s">
        <v>64</v>
      </c>
      <c r="B28" s="2" t="s">
        <v>65</v>
      </c>
      <c r="C28" s="3">
        <v>0.01</v>
      </c>
      <c r="D28" s="3">
        <v>0.3</v>
      </c>
      <c r="E28" s="2" t="s">
        <v>52</v>
      </c>
      <c r="F28" s="3">
        <v>1</v>
      </c>
      <c r="G28" s="2" t="s">
        <v>49</v>
      </c>
      <c r="H28" s="2" t="s">
        <v>67</v>
      </c>
      <c r="I28" s="2">
        <v>73</v>
      </c>
      <c r="J28" s="2">
        <v>3</v>
      </c>
      <c r="K28" s="2">
        <v>82</v>
      </c>
      <c r="L28" s="2">
        <v>156</v>
      </c>
      <c r="M28" s="2">
        <v>2.137</v>
      </c>
      <c r="N28" s="2">
        <v>1</v>
      </c>
      <c r="O28" s="2">
        <v>0</v>
      </c>
      <c r="P28" s="2">
        <v>10000</v>
      </c>
      <c r="Q28" s="2">
        <v>353</v>
      </c>
      <c r="R28" s="4">
        <v>5.9272465705871582</v>
      </c>
      <c r="S28" s="4">
        <v>4.997393449147542</v>
      </c>
      <c r="T28" s="4"/>
      <c r="U28" s="4">
        <v>4.3229276339213056</v>
      </c>
      <c r="V28" s="4">
        <v>8.5565967559814453</v>
      </c>
      <c r="W28" s="4">
        <v>0.65726912021636963</v>
      </c>
      <c r="X28" s="5">
        <v>92.283927261000144</v>
      </c>
      <c r="Y28" s="5">
        <v>123.413552087</v>
      </c>
      <c r="Z28" s="3">
        <v>0.41377728684454451</v>
      </c>
      <c r="AA28" s="3">
        <v>0.32400000000000001</v>
      </c>
      <c r="AB28" s="3">
        <v>0.51100000000000001</v>
      </c>
      <c r="AC28" s="3">
        <v>1.9714157097041E-3</v>
      </c>
      <c r="AD28" s="3">
        <v>0.3130101859569549</v>
      </c>
      <c r="AE28" s="3">
        <v>0.29919114708900452</v>
      </c>
      <c r="AF28" s="2">
        <v>0</v>
      </c>
      <c r="AG28" s="3">
        <v>0.25813639163970947</v>
      </c>
      <c r="AH28" s="3">
        <v>11.57827663421631</v>
      </c>
      <c r="AI28" s="3">
        <v>0</v>
      </c>
      <c r="AJ28" s="3">
        <v>0</v>
      </c>
      <c r="AK28" s="3">
        <v>-3.0529946358510078</v>
      </c>
      <c r="AL28" s="3">
        <v>-8.4315300877634003E-2</v>
      </c>
      <c r="AM28" s="3">
        <v>-0.28429211074080762</v>
      </c>
      <c r="AN28" s="3">
        <v>0.9570675206048852</v>
      </c>
      <c r="AO28" s="3">
        <v>-3.2609151929364319</v>
      </c>
      <c r="AP28" s="3">
        <v>-0.17330525727335219</v>
      </c>
      <c r="AQ28" s="3">
        <v>-0.37799658356896071</v>
      </c>
      <c r="AR28" s="3">
        <v>0.95275129897903044</v>
      </c>
      <c r="AS28" s="3">
        <v>-3.086160981191489</v>
      </c>
      <c r="AT28" s="3">
        <v>-0.10277914754922229</v>
      </c>
      <c r="AU28" s="3">
        <v>-0.40121684664515511</v>
      </c>
      <c r="AV28" s="3">
        <v>0.93998336534338056</v>
      </c>
      <c r="AW28" s="3">
        <v>-3.1094404276298051</v>
      </c>
      <c r="AX28" s="3">
        <v>-2.4529773903452101</v>
      </c>
      <c r="AY28" s="3">
        <v>1.94295265309865E-2</v>
      </c>
      <c r="AZ28" s="3">
        <v>0.33169435552663418</v>
      </c>
      <c r="BA28" s="16">
        <f t="shared" si="2"/>
        <v>-1.3028234839793487</v>
      </c>
      <c r="BB28" s="16">
        <f t="shared" si="3"/>
        <v>-0.66451448930889712</v>
      </c>
    </row>
    <row r="29" spans="1:54" x14ac:dyDescent="0.25">
      <c r="A29" s="2" t="s">
        <v>64</v>
      </c>
      <c r="B29" s="2" t="s">
        <v>65</v>
      </c>
      <c r="C29" s="3">
        <v>0.01</v>
      </c>
      <c r="D29" s="3">
        <v>0.3</v>
      </c>
      <c r="E29" s="2" t="s">
        <v>52</v>
      </c>
      <c r="F29" s="3">
        <v>1</v>
      </c>
      <c r="G29" s="2" t="s">
        <v>51</v>
      </c>
      <c r="H29" s="2" t="s">
        <v>67</v>
      </c>
      <c r="I29" s="2">
        <v>73</v>
      </c>
      <c r="J29" s="2">
        <v>3</v>
      </c>
      <c r="K29" s="2">
        <v>82</v>
      </c>
      <c r="L29" s="2">
        <v>156</v>
      </c>
      <c r="M29" s="2">
        <v>2.137</v>
      </c>
      <c r="N29" s="2">
        <v>1</v>
      </c>
      <c r="O29" s="2">
        <v>1</v>
      </c>
      <c r="P29" s="2">
        <v>1183</v>
      </c>
      <c r="Q29" s="2">
        <v>1091</v>
      </c>
      <c r="R29" s="4">
        <v>5.677452564239502</v>
      </c>
      <c r="S29" s="4">
        <v>4.1329685846964521</v>
      </c>
      <c r="T29" s="4"/>
      <c r="U29" s="4"/>
      <c r="V29" s="4"/>
      <c r="W29" s="4">
        <v>0.50894021987915039</v>
      </c>
      <c r="X29" s="5">
        <v>34.387925790000047</v>
      </c>
      <c r="Y29" s="5">
        <v>57.567216977000051</v>
      </c>
      <c r="Z29" s="3">
        <v>0.41377728684454451</v>
      </c>
      <c r="AA29" s="3">
        <v>0.32400000000000001</v>
      </c>
      <c r="AB29" s="3">
        <v>0.51100000000000001</v>
      </c>
      <c r="AC29" s="3">
        <v>1.0486701503396E-3</v>
      </c>
      <c r="AD29" s="3">
        <v>0.2304955720901489</v>
      </c>
      <c r="AE29" s="3">
        <v>0.212342083454132</v>
      </c>
      <c r="AF29" s="2">
        <v>0</v>
      </c>
      <c r="AG29" s="3">
        <v>0.38969907164573669</v>
      </c>
      <c r="AH29" s="3">
        <v>9.1252317428588885</v>
      </c>
      <c r="AI29" s="3">
        <v>0</v>
      </c>
      <c r="AJ29" s="3">
        <v>0</v>
      </c>
      <c r="AK29" s="3">
        <v>-3.0377156788907178</v>
      </c>
      <c r="AL29" s="3">
        <v>2.4314957285440999E-2</v>
      </c>
      <c r="AM29" s="3">
        <v>8.2594018967029101E-2</v>
      </c>
      <c r="AN29" s="3">
        <v>0.8440694564785487</v>
      </c>
      <c r="AO29" s="3">
        <v>-3.1541412563564162</v>
      </c>
      <c r="AP29" s="3">
        <v>7.6846658067032999E-3</v>
      </c>
      <c r="AQ29" s="3">
        <v>5.9670073991473303E-2</v>
      </c>
      <c r="AR29" s="3">
        <v>0.94401137199852236</v>
      </c>
      <c r="AS29" s="3">
        <v>-2.9673406994162672</v>
      </c>
      <c r="AT29" s="3">
        <v>-3.6292708858584703E-2</v>
      </c>
      <c r="AU29" s="3">
        <v>5.95105039473234E-2</v>
      </c>
      <c r="AV29" s="3">
        <v>0.93613038020747763</v>
      </c>
      <c r="AW29" s="3">
        <v>-3.0214017150412511</v>
      </c>
      <c r="AX29" s="3">
        <v>-2.1613385348724701</v>
      </c>
      <c r="AY29" s="3">
        <v>-0.1460997018805931</v>
      </c>
      <c r="AZ29" s="3">
        <v>0.4889582533718338</v>
      </c>
      <c r="BA29" s="16">
        <f t="shared" si="2"/>
        <v>-1.20997042460562</v>
      </c>
      <c r="BB29" s="16">
        <f t="shared" si="3"/>
        <v>-0.51979207623662227</v>
      </c>
    </row>
    <row r="30" spans="1:54" x14ac:dyDescent="0.25">
      <c r="A30" s="2" t="s">
        <v>64</v>
      </c>
      <c r="B30" s="2" t="s">
        <v>65</v>
      </c>
      <c r="C30" s="3">
        <v>0.01</v>
      </c>
      <c r="D30" s="3">
        <v>0.3</v>
      </c>
      <c r="E30" s="2" t="s">
        <v>54</v>
      </c>
      <c r="F30" s="3">
        <v>1</v>
      </c>
      <c r="G30" s="2" t="s">
        <v>49</v>
      </c>
      <c r="H30" s="2" t="s">
        <v>68</v>
      </c>
      <c r="I30" s="2">
        <v>171</v>
      </c>
      <c r="J30" s="2">
        <v>3</v>
      </c>
      <c r="K30" s="2">
        <v>180</v>
      </c>
      <c r="L30" s="2">
        <v>156</v>
      </c>
      <c r="M30" s="2">
        <v>0.91200000000000003</v>
      </c>
      <c r="N30" s="2">
        <v>1</v>
      </c>
      <c r="O30" s="2">
        <v>0</v>
      </c>
      <c r="P30" s="2">
        <v>10000</v>
      </c>
      <c r="Q30" s="2">
        <v>191</v>
      </c>
      <c r="R30" s="4">
        <v>5.7016177177429199</v>
      </c>
      <c r="S30" s="4">
        <v>4.8654392560323076</v>
      </c>
      <c r="T30" s="4"/>
      <c r="U30" s="4">
        <v>4.4504656791687012</v>
      </c>
      <c r="V30" s="4">
        <v>8.3627691268920898</v>
      </c>
      <c r="W30" s="4">
        <v>0.6479606032371521</v>
      </c>
      <c r="X30" s="5">
        <v>98.202980650999962</v>
      </c>
      <c r="Y30" s="5">
        <v>258.19736999999992</v>
      </c>
      <c r="Z30" s="3">
        <v>0.41377728684454451</v>
      </c>
      <c r="AA30" s="3">
        <v>0.32400000000000001</v>
      </c>
      <c r="AB30" s="3">
        <v>0.51100000000000001</v>
      </c>
      <c r="AC30" s="3">
        <v>3.3040507696567999E-3</v>
      </c>
      <c r="AD30" s="3">
        <v>0.32679325342178339</v>
      </c>
      <c r="AE30" s="3">
        <v>0.445809006690979</v>
      </c>
      <c r="AF30" s="2">
        <v>0</v>
      </c>
      <c r="AG30" s="3">
        <v>0.1165608912706375</v>
      </c>
      <c r="AH30" s="3">
        <v>11.21114349365234</v>
      </c>
      <c r="AI30" s="3">
        <v>0</v>
      </c>
      <c r="AJ30" s="3">
        <v>0</v>
      </c>
      <c r="AK30" s="3">
        <v>-3.167833643745503</v>
      </c>
      <c r="AL30" s="3">
        <v>-8.5869296198792994E-2</v>
      </c>
      <c r="AM30" s="3">
        <v>-0.18092701999544331</v>
      </c>
      <c r="AN30" s="3">
        <v>0.96341809505060383</v>
      </c>
      <c r="AO30" s="3">
        <v>-3.3914624160960849</v>
      </c>
      <c r="AP30" s="3">
        <v>-0.14249653766036771</v>
      </c>
      <c r="AQ30" s="3">
        <v>-0.30686303916818081</v>
      </c>
      <c r="AR30" s="3">
        <v>0.83846782582293244</v>
      </c>
      <c r="AS30" s="3">
        <v>-3.1692240586963458</v>
      </c>
      <c r="AT30" s="3">
        <v>-0.14717341568863551</v>
      </c>
      <c r="AU30" s="3">
        <v>-0.2026597559502045</v>
      </c>
      <c r="AV30" s="3">
        <v>0.93260180670072801</v>
      </c>
      <c r="AW30" s="3">
        <v>-3.1189097869896432</v>
      </c>
      <c r="AX30" s="3">
        <v>-2.3990468370567859</v>
      </c>
      <c r="AY30" s="3">
        <v>-4.2695299599290998E-2</v>
      </c>
      <c r="AZ30" s="3">
        <v>0.76496788669855731</v>
      </c>
      <c r="BA30" s="16">
        <f t="shared" si="2"/>
        <v>-1.1989210092367906</v>
      </c>
      <c r="BB30" s="16">
        <f t="shared" si="3"/>
        <v>-0.67166845463544123</v>
      </c>
    </row>
    <row r="31" spans="1:54" x14ac:dyDescent="0.25">
      <c r="A31" s="2" t="s">
        <v>64</v>
      </c>
      <c r="B31" s="2" t="s">
        <v>65</v>
      </c>
      <c r="C31" s="3">
        <v>0.01</v>
      </c>
      <c r="D31" s="3">
        <v>0.3</v>
      </c>
      <c r="E31" s="2" t="s">
        <v>54</v>
      </c>
      <c r="F31" s="3">
        <v>1</v>
      </c>
      <c r="G31" s="2" t="s">
        <v>51</v>
      </c>
      <c r="H31" s="2" t="s">
        <v>68</v>
      </c>
      <c r="I31" s="2">
        <v>171</v>
      </c>
      <c r="J31" s="2">
        <v>3</v>
      </c>
      <c r="K31" s="2">
        <v>180</v>
      </c>
      <c r="L31" s="2">
        <v>156</v>
      </c>
      <c r="M31" s="2">
        <v>0.91200000000000003</v>
      </c>
      <c r="N31" s="2">
        <v>1</v>
      </c>
      <c r="O31" s="2">
        <v>0</v>
      </c>
      <c r="P31" s="2">
        <v>10000</v>
      </c>
      <c r="Q31" s="2">
        <v>306</v>
      </c>
      <c r="R31" s="4">
        <v>5.3944544792175293</v>
      </c>
      <c r="S31" s="4">
        <v>4.3126648267110186</v>
      </c>
      <c r="T31" s="4"/>
      <c r="U31" s="4">
        <v>4.3342028458913164</v>
      </c>
      <c r="V31" s="4">
        <v>8.549687385559082</v>
      </c>
      <c r="W31" s="4">
        <v>0.62663781642913818</v>
      </c>
      <c r="X31" s="5">
        <v>99.72399997399998</v>
      </c>
      <c r="Y31" s="5">
        <v>141.03150380599979</v>
      </c>
      <c r="Z31" s="3">
        <v>0.41377728684454451</v>
      </c>
      <c r="AA31" s="3">
        <v>0.32400000000000001</v>
      </c>
      <c r="AB31" s="3">
        <v>0.51100000000000001</v>
      </c>
      <c r="AC31" s="3">
        <v>1.2769383611157001E-3</v>
      </c>
      <c r="AD31" s="3">
        <v>0.27624243497848511</v>
      </c>
      <c r="AE31" s="3">
        <v>0.56271958351135254</v>
      </c>
      <c r="AF31" s="2">
        <v>0</v>
      </c>
      <c r="AG31" s="3">
        <v>0.13677459955215451</v>
      </c>
      <c r="AH31" s="3">
        <v>10.834310531616209</v>
      </c>
      <c r="AI31" s="3">
        <v>0</v>
      </c>
      <c r="AJ31" s="3">
        <v>0</v>
      </c>
      <c r="AK31" s="3">
        <v>-3.1913282061625901</v>
      </c>
      <c r="AL31" s="3">
        <v>-6.0528525887180301E-2</v>
      </c>
      <c r="AM31" s="3">
        <v>8.6984672190959705E-2</v>
      </c>
      <c r="AN31" s="3">
        <v>0.96649718674578444</v>
      </c>
      <c r="AO31" s="3">
        <v>-3.3879882336259399</v>
      </c>
      <c r="AP31" s="3">
        <v>-9.8082751531196097E-2</v>
      </c>
      <c r="AQ31" s="3">
        <v>2.42790428568904E-2</v>
      </c>
      <c r="AR31" s="3">
        <v>0.95407437758729285</v>
      </c>
      <c r="AS31" s="3">
        <v>-3.2014773215923449</v>
      </c>
      <c r="AT31" s="3">
        <v>-0.10817713439587059</v>
      </c>
      <c r="AU31" s="3">
        <v>5.3203865357820901E-2</v>
      </c>
      <c r="AV31" s="3">
        <v>0.94304294530281685</v>
      </c>
      <c r="AW31" s="3">
        <v>-3.104114432844868</v>
      </c>
      <c r="AX31" s="3">
        <v>-2.369524358441621</v>
      </c>
      <c r="AY31" s="3">
        <v>0.15781526184685651</v>
      </c>
      <c r="AZ31" s="3">
        <v>0.93787941438900435</v>
      </c>
      <c r="BA31" s="16">
        <f t="shared" si="2"/>
        <v>-1.094486028762657</v>
      </c>
      <c r="BB31" s="16">
        <f t="shared" si="3"/>
        <v>-0.58495834026279636</v>
      </c>
    </row>
    <row r="32" spans="1:54" x14ac:dyDescent="0.25">
      <c r="A32" s="2" t="s">
        <v>64</v>
      </c>
      <c r="B32" s="2" t="s">
        <v>65</v>
      </c>
      <c r="C32" s="3">
        <v>0.01</v>
      </c>
      <c r="D32" s="3">
        <v>0.3</v>
      </c>
      <c r="E32" s="2" t="s">
        <v>56</v>
      </c>
      <c r="F32" s="3">
        <v>1</v>
      </c>
      <c r="G32" s="2" t="s">
        <v>49</v>
      </c>
      <c r="H32" s="2" t="s">
        <v>69</v>
      </c>
      <c r="I32" s="2">
        <v>227</v>
      </c>
      <c r="J32" s="2">
        <v>3</v>
      </c>
      <c r="K32" s="2">
        <v>236</v>
      </c>
      <c r="L32" s="2">
        <v>156</v>
      </c>
      <c r="M32" s="2">
        <v>0.68700000000000006</v>
      </c>
      <c r="N32" s="2">
        <v>1</v>
      </c>
      <c r="O32" s="2">
        <v>0</v>
      </c>
      <c r="P32" s="2">
        <v>10000</v>
      </c>
      <c r="Q32" s="2">
        <v>77</v>
      </c>
      <c r="R32" s="4">
        <v>6.5722393989562988</v>
      </c>
      <c r="S32" s="4">
        <v>4.6191709836324053</v>
      </c>
      <c r="T32" s="4"/>
      <c r="U32" s="4">
        <v>4.3229324022928877</v>
      </c>
      <c r="V32" s="4">
        <v>8.5565967559814453</v>
      </c>
      <c r="W32" s="4">
        <v>0.66738098859786987</v>
      </c>
      <c r="X32" s="5">
        <v>101.0411253080001</v>
      </c>
      <c r="Y32" s="5">
        <v>127.9242030919995</v>
      </c>
      <c r="Z32" s="3">
        <v>0.41377728684454451</v>
      </c>
      <c r="AA32" s="3">
        <v>0.32400000000000001</v>
      </c>
      <c r="AB32" s="3">
        <v>0.51100000000000001</v>
      </c>
      <c r="AC32" s="3">
        <v>2.3521394468843E-3</v>
      </c>
      <c r="AD32" s="3">
        <v>0.25626161694526672</v>
      </c>
      <c r="AE32" s="3">
        <v>0.18991799652576441</v>
      </c>
      <c r="AF32" s="2">
        <v>0</v>
      </c>
      <c r="AG32" s="3">
        <v>0.30163201689720148</v>
      </c>
      <c r="AH32" s="3">
        <v>11.74651527404785</v>
      </c>
      <c r="AI32" s="3">
        <v>0</v>
      </c>
      <c r="AJ32" s="3">
        <v>0</v>
      </c>
      <c r="AK32" s="3">
        <v>-2.8922874976458761</v>
      </c>
      <c r="AL32" s="3">
        <v>-8.9682978323854991E-3</v>
      </c>
      <c r="AM32" s="3">
        <v>-0.2192249495987057</v>
      </c>
      <c r="AN32" s="3">
        <v>0.94967541467875205</v>
      </c>
      <c r="AO32" s="3">
        <v>-3.1536026366012488</v>
      </c>
      <c r="AP32" s="3">
        <v>-0.15802018871426271</v>
      </c>
      <c r="AQ32" s="3">
        <v>-7.0036016256843095E-2</v>
      </c>
      <c r="AR32" s="3">
        <v>0.95753930486369876</v>
      </c>
      <c r="AS32" s="3">
        <v>-2.9433193554607442</v>
      </c>
      <c r="AT32" s="3">
        <v>-5.7668317902772097E-2</v>
      </c>
      <c r="AU32" s="3">
        <v>-0.31871712680356179</v>
      </c>
      <c r="AV32" s="3">
        <v>0.93513638030410295</v>
      </c>
      <c r="AW32" s="3">
        <v>-3.1122434978758871</v>
      </c>
      <c r="AX32" s="3">
        <v>-2.4804746144598528</v>
      </c>
      <c r="AY32" s="3">
        <v>-0.28567375223462421</v>
      </c>
      <c r="AZ32" s="3">
        <v>-0.3075965210288602</v>
      </c>
      <c r="BA32" s="16">
        <f t="shared" si="2"/>
        <v>-1.5464970963998061</v>
      </c>
      <c r="BB32" s="16">
        <f t="shared" si="3"/>
        <v>-0.58162444058082052</v>
      </c>
    </row>
    <row r="33" spans="1:54" x14ac:dyDescent="0.25">
      <c r="A33" s="2" t="s">
        <v>64</v>
      </c>
      <c r="B33" s="2" t="s">
        <v>65</v>
      </c>
      <c r="C33" s="3">
        <v>0.01</v>
      </c>
      <c r="D33" s="3">
        <v>0.3</v>
      </c>
      <c r="E33" s="2" t="s">
        <v>56</v>
      </c>
      <c r="F33" s="3">
        <v>1</v>
      </c>
      <c r="G33" s="2" t="s">
        <v>51</v>
      </c>
      <c r="H33" s="2" t="s">
        <v>69</v>
      </c>
      <c r="I33" s="2">
        <v>227</v>
      </c>
      <c r="J33" s="2">
        <v>3</v>
      </c>
      <c r="K33" s="2">
        <v>236</v>
      </c>
      <c r="L33" s="2">
        <v>156</v>
      </c>
      <c r="M33" s="2">
        <v>0.68700000000000006</v>
      </c>
      <c r="N33" s="2">
        <v>1</v>
      </c>
      <c r="O33" s="2">
        <v>1</v>
      </c>
      <c r="P33" s="2">
        <v>87</v>
      </c>
      <c r="Q33" s="2">
        <v>44</v>
      </c>
      <c r="R33" s="4">
        <v>3.8654589653015141</v>
      </c>
      <c r="S33" s="4">
        <v>4.0440603097279864</v>
      </c>
      <c r="T33" s="4"/>
      <c r="U33" s="4"/>
      <c r="V33" s="4"/>
      <c r="W33" s="4">
        <v>0.49751833081245422</v>
      </c>
      <c r="X33" s="5">
        <v>33.401611613000107</v>
      </c>
      <c r="Y33" s="5">
        <v>31.86154982800053</v>
      </c>
      <c r="Z33" s="3">
        <v>0.41377728684454451</v>
      </c>
      <c r="AA33" s="3">
        <v>0.32400000000000001</v>
      </c>
      <c r="AB33" s="3">
        <v>0.51100000000000001</v>
      </c>
      <c r="AC33" s="3">
        <v>1.9494668813421999E-3</v>
      </c>
      <c r="AD33" s="3">
        <v>0.13153192400932309</v>
      </c>
      <c r="AE33" s="3">
        <v>3.6852739751338903E-2</v>
      </c>
      <c r="AF33" s="2">
        <v>0</v>
      </c>
      <c r="AG33" s="3">
        <v>0.1850577890872955</v>
      </c>
      <c r="AH33" s="3">
        <v>10.77984714508057</v>
      </c>
      <c r="AI33" s="3">
        <v>0</v>
      </c>
      <c r="AJ33" s="3">
        <v>0</v>
      </c>
      <c r="AK33" s="3">
        <v>-1.9508700247133759</v>
      </c>
      <c r="AL33" s="3">
        <v>2.9156974096326602E-2</v>
      </c>
      <c r="AM33" s="3">
        <v>1.3909152010376499E-2</v>
      </c>
      <c r="AN33" s="3">
        <v>0.76862987481939937</v>
      </c>
      <c r="AO33" s="3">
        <v>-2.309696268973112</v>
      </c>
      <c r="AP33" s="3">
        <v>-1.7257009763324799E-2</v>
      </c>
      <c r="AQ33" s="3">
        <v>2.7903864171927101E-2</v>
      </c>
      <c r="AR33" s="3">
        <v>0.62153499654717614</v>
      </c>
      <c r="AS33" s="3">
        <v>-1.9715148633631741</v>
      </c>
      <c r="AT33" s="3">
        <v>-3.3261059432238199E-2</v>
      </c>
      <c r="AU33" s="3">
        <v>-1.0630244146882999E-2</v>
      </c>
      <c r="AV33" s="3">
        <v>0.80415406883745399</v>
      </c>
      <c r="AW33" s="3">
        <v>-1.267286170235546</v>
      </c>
      <c r="AX33" s="3">
        <v>-1.09671217187651</v>
      </c>
      <c r="AY33" s="3">
        <v>8.5015473012047593E-2</v>
      </c>
      <c r="AZ33" s="3">
        <v>0.50332451757880126</v>
      </c>
      <c r="BA33" s="16">
        <f t="shared" si="2"/>
        <v>-0.4439145878803018</v>
      </c>
      <c r="BB33" s="16">
        <f t="shared" si="3"/>
        <v>-0.33566171165912068</v>
      </c>
    </row>
    <row r="34" spans="1:54" x14ac:dyDescent="0.25">
      <c r="A34" s="2" t="s">
        <v>64</v>
      </c>
      <c r="B34" s="2" t="s">
        <v>65</v>
      </c>
      <c r="C34" s="3">
        <v>1E-3</v>
      </c>
      <c r="D34" s="3">
        <v>0.1</v>
      </c>
      <c r="E34" s="2" t="s">
        <v>48</v>
      </c>
      <c r="F34" s="3">
        <v>1</v>
      </c>
      <c r="G34" s="2" t="s">
        <v>49</v>
      </c>
      <c r="H34" s="2" t="s">
        <v>66</v>
      </c>
      <c r="I34" s="2">
        <v>43</v>
      </c>
      <c r="J34" s="2">
        <v>3</v>
      </c>
      <c r="K34" s="2">
        <v>52</v>
      </c>
      <c r="L34" s="2">
        <v>156</v>
      </c>
      <c r="M34" s="2">
        <v>3.6280000000000001</v>
      </c>
      <c r="N34" s="2">
        <v>2</v>
      </c>
      <c r="O34" s="2">
        <v>1</v>
      </c>
      <c r="P34" s="2">
        <v>12</v>
      </c>
      <c r="Q34" s="2">
        <v>10</v>
      </c>
      <c r="R34" s="4">
        <v>5.7447824478149414</v>
      </c>
      <c r="S34" s="4">
        <v>8.7757836977640782</v>
      </c>
      <c r="T34" s="4"/>
      <c r="U34" s="4">
        <v>9.6601441701253261</v>
      </c>
      <c r="V34" s="4">
        <v>6544106</v>
      </c>
      <c r="W34" s="4">
        <v>2.2099245339632E-2</v>
      </c>
      <c r="X34" s="5">
        <v>22.694905047999779</v>
      </c>
      <c r="Y34" s="5">
        <v>18.50011118900148</v>
      </c>
      <c r="Z34" s="3">
        <v>0.41377728684454451</v>
      </c>
      <c r="AA34" s="3">
        <v>0.32400000000000001</v>
      </c>
      <c r="AB34" s="3">
        <v>0.51100000000000001</v>
      </c>
      <c r="AC34" s="3">
        <v>1.1239330051466001E-3</v>
      </c>
      <c r="AD34" s="3">
        <v>0.34902685880661011</v>
      </c>
      <c r="AE34" s="3">
        <v>7.1981269866228E-3</v>
      </c>
      <c r="AF34" s="2">
        <v>1</v>
      </c>
      <c r="AG34" s="3">
        <v>0.11841549724340431</v>
      </c>
      <c r="AH34" s="3">
        <v>-63.939292907714851</v>
      </c>
      <c r="AI34" s="3">
        <v>0</v>
      </c>
      <c r="AJ34" s="3">
        <v>0</v>
      </c>
      <c r="AK34" s="3">
        <v>-2.0341603991232158</v>
      </c>
      <c r="AL34" s="3">
        <v>-1.095673894794162</v>
      </c>
      <c r="AM34" s="3">
        <v>-0.58182705724085593</v>
      </c>
      <c r="AN34" s="3">
        <v>-0.74099928353473943</v>
      </c>
      <c r="AO34" s="3">
        <v>-2.9609635535704282</v>
      </c>
      <c r="AP34" s="3">
        <v>-2.488076520274312</v>
      </c>
      <c r="AQ34" s="3">
        <v>-0.48482943648225718</v>
      </c>
      <c r="AR34" s="3">
        <v>-1.383943865735906</v>
      </c>
      <c r="AS34" s="3">
        <v>-2.1008740567960862</v>
      </c>
      <c r="AT34" s="3">
        <v>-2.098874518655407</v>
      </c>
      <c r="AU34" s="3">
        <v>-0.86686262666738867</v>
      </c>
      <c r="AV34" s="3">
        <v>-0.75331761634673189</v>
      </c>
      <c r="AW34" s="3">
        <v>-1.852226817135368</v>
      </c>
      <c r="AX34" s="3">
        <v>-1.3619967721625961</v>
      </c>
      <c r="AY34" s="3">
        <v>-1.118249200336336</v>
      </c>
      <c r="AZ34" s="3">
        <v>-0.1505659912595651</v>
      </c>
      <c r="BA34" s="16">
        <f t="shared" si="2"/>
        <v>-1.1207596952234664</v>
      </c>
      <c r="BB34" s="16">
        <f t="shared" si="3"/>
        <v>-1.4658669024351241</v>
      </c>
    </row>
    <row r="35" spans="1:54" x14ac:dyDescent="0.25">
      <c r="A35" s="2" t="s">
        <v>64</v>
      </c>
      <c r="B35" s="2" t="s">
        <v>65</v>
      </c>
      <c r="C35" s="3">
        <v>1E-3</v>
      </c>
      <c r="D35" s="3">
        <v>0.1</v>
      </c>
      <c r="E35" s="2" t="s">
        <v>48</v>
      </c>
      <c r="F35" s="3">
        <v>1</v>
      </c>
      <c r="G35" s="2" t="s">
        <v>49</v>
      </c>
      <c r="H35" s="2" t="s">
        <v>66</v>
      </c>
      <c r="I35" s="2">
        <v>43</v>
      </c>
      <c r="J35" s="2">
        <v>3</v>
      </c>
      <c r="K35" s="2">
        <v>52</v>
      </c>
      <c r="L35" s="2">
        <v>156</v>
      </c>
      <c r="M35" s="2">
        <v>3.6280000000000001</v>
      </c>
      <c r="N35" s="2">
        <v>3</v>
      </c>
      <c r="O35" s="2">
        <v>1</v>
      </c>
      <c r="P35" s="2">
        <v>10</v>
      </c>
      <c r="Q35" s="2">
        <v>5</v>
      </c>
      <c r="R35" s="4">
        <v>5.7785625457763672</v>
      </c>
      <c r="S35" s="4">
        <v>9.6164916356404646</v>
      </c>
      <c r="T35" s="4"/>
      <c r="U35" s="4">
        <v>9.6626768112182617</v>
      </c>
      <c r="V35" s="4"/>
      <c r="W35" s="4">
        <v>1.11524062231183E-2</v>
      </c>
      <c r="X35" s="5">
        <v>22.345507852999621</v>
      </c>
      <c r="Y35" s="5">
        <v>18.361107094000541</v>
      </c>
      <c r="Z35" s="3">
        <v>0.41377728684454451</v>
      </c>
      <c r="AA35" s="3">
        <v>0.32400000000000001</v>
      </c>
      <c r="AB35" s="3">
        <v>0.51100000000000001</v>
      </c>
      <c r="AC35" s="3">
        <v>1.1261955369263001E-3</v>
      </c>
      <c r="AD35" s="3">
        <v>0.34513282775878901</v>
      </c>
      <c r="AE35" s="3">
        <v>7.0836907252668996E-3</v>
      </c>
      <c r="AF35" s="2">
        <v>1</v>
      </c>
      <c r="AG35" s="3">
        <v>0.1087185069918632</v>
      </c>
      <c r="AH35" s="3">
        <v>-0.25238609313964838</v>
      </c>
      <c r="AI35" s="3">
        <v>0</v>
      </c>
      <c r="AJ35" s="3">
        <v>0</v>
      </c>
      <c r="AK35" s="3">
        <v>-2.3763624369469261</v>
      </c>
      <c r="AL35" s="3">
        <v>-1.2395587012694269</v>
      </c>
      <c r="AM35" s="3">
        <v>-0.98648468171872561</v>
      </c>
      <c r="AN35" s="3">
        <v>-1.052990077812225</v>
      </c>
      <c r="AO35" s="3">
        <v>-3.168231421028775</v>
      </c>
      <c r="AP35" s="3">
        <v>-2.6945131539729421</v>
      </c>
      <c r="AQ35" s="3">
        <v>-0.56148220772313695</v>
      </c>
      <c r="AR35" s="3">
        <v>-1.564293829621191</v>
      </c>
      <c r="AS35" s="3">
        <v>-2.4980143640468961</v>
      </c>
      <c r="AT35" s="3">
        <v>-2.3202380370110851</v>
      </c>
      <c r="AU35" s="3">
        <v>-0.9747995302824376</v>
      </c>
      <c r="AV35" s="3">
        <v>-1.09656171943987</v>
      </c>
      <c r="AW35" s="3">
        <v>-1.481263636958158</v>
      </c>
      <c r="AX35" s="3">
        <v>-1.2807393283867681</v>
      </c>
      <c r="AY35" s="3">
        <v>-1.2107682422470769</v>
      </c>
      <c r="AZ35" s="3">
        <v>-0.42317805491230809</v>
      </c>
      <c r="BA35" s="16">
        <f t="shared" si="2"/>
        <v>-1.0989873156260779</v>
      </c>
      <c r="BB35" s="16">
        <f t="shared" si="3"/>
        <v>-1.7111275134061363</v>
      </c>
    </row>
    <row r="36" spans="1:54" x14ac:dyDescent="0.25">
      <c r="A36" s="2" t="s">
        <v>64</v>
      </c>
      <c r="B36" s="2" t="s">
        <v>65</v>
      </c>
      <c r="C36" s="3">
        <v>1E-3</v>
      </c>
      <c r="D36" s="3">
        <v>0.1</v>
      </c>
      <c r="E36" s="2" t="s">
        <v>48</v>
      </c>
      <c r="F36" s="3">
        <v>1</v>
      </c>
      <c r="G36" s="2" t="s">
        <v>51</v>
      </c>
      <c r="H36" s="2" t="s">
        <v>66</v>
      </c>
      <c r="I36" s="2">
        <v>43</v>
      </c>
      <c r="J36" s="2">
        <v>3</v>
      </c>
      <c r="K36" s="2">
        <v>52</v>
      </c>
      <c r="L36" s="2">
        <v>156</v>
      </c>
      <c r="M36" s="2">
        <v>3.6280000000000001</v>
      </c>
      <c r="N36" s="2">
        <v>2</v>
      </c>
      <c r="O36" s="2">
        <v>0</v>
      </c>
      <c r="P36" s="2">
        <v>10000</v>
      </c>
      <c r="Q36" s="2">
        <v>9703</v>
      </c>
      <c r="R36" s="4">
        <v>1.853391766548157</v>
      </c>
      <c r="S36" s="4">
        <v>2.2471957604090371</v>
      </c>
      <c r="T36" s="4"/>
      <c r="U36" s="4">
        <v>2.240224957466125</v>
      </c>
      <c r="V36" s="4">
        <v>2.0921511650085449</v>
      </c>
      <c r="W36" s="4">
        <v>0.42094635963439941</v>
      </c>
      <c r="X36" s="5">
        <v>98.115714875999856</v>
      </c>
      <c r="Y36" s="5">
        <v>1124.207026435</v>
      </c>
      <c r="Z36" s="3">
        <v>0.41377728684454451</v>
      </c>
      <c r="AA36" s="3">
        <v>0.32400000000000001</v>
      </c>
      <c r="AB36" s="3">
        <v>0.51100000000000001</v>
      </c>
      <c r="AC36" s="3">
        <v>1.1719213798642E-3</v>
      </c>
      <c r="AD36" s="3">
        <v>0.35008671879768372</v>
      </c>
      <c r="AE36" s="3">
        <v>8.5168369114398002E-3</v>
      </c>
      <c r="AF36" s="2">
        <v>1</v>
      </c>
      <c r="AG36" s="3">
        <v>8.4670752286910997E-2</v>
      </c>
      <c r="AH36" s="3">
        <v>-2.7948930263519292</v>
      </c>
      <c r="AI36" s="3">
        <v>-0.85431021451950073</v>
      </c>
      <c r="AJ36" s="3">
        <v>0</v>
      </c>
      <c r="AK36" s="3">
        <v>0.36459326394102071</v>
      </c>
      <c r="AL36" s="3">
        <v>0.36039010634458779</v>
      </c>
      <c r="AM36" s="3">
        <v>0.36131642527985591</v>
      </c>
      <c r="AN36" s="3">
        <v>0.89526657188241598</v>
      </c>
      <c r="AO36" s="3">
        <v>-0.40160712480881489</v>
      </c>
      <c r="AP36" s="3">
        <v>0.71748037416341792</v>
      </c>
      <c r="AQ36" s="3">
        <v>0.19741410872013049</v>
      </c>
      <c r="AR36" s="3">
        <v>0.56902263471788572</v>
      </c>
      <c r="AS36" s="3">
        <v>0.14002056996650719</v>
      </c>
      <c r="AT36" s="3">
        <v>0.3368234616270066</v>
      </c>
      <c r="AU36" s="3">
        <v>0.36370273555171417</v>
      </c>
      <c r="AV36" s="3">
        <v>0.82321356374889809</v>
      </c>
      <c r="AW36" s="3">
        <v>0.4517154726739237</v>
      </c>
      <c r="AX36" s="3">
        <v>0.56145598470804425</v>
      </c>
      <c r="AY36" s="3">
        <v>0.1627809329274969</v>
      </c>
      <c r="AZ36" s="3">
        <v>7.4768342819116096E-2</v>
      </c>
      <c r="BA36" s="16">
        <f t="shared" si="2"/>
        <v>0.31268018328214525</v>
      </c>
      <c r="BB36" s="16">
        <f t="shared" si="3"/>
        <v>0.39396972426121879</v>
      </c>
    </row>
    <row r="37" spans="1:54" x14ac:dyDescent="0.25">
      <c r="A37" s="6" t="s">
        <v>64</v>
      </c>
      <c r="B37" s="6" t="s">
        <v>65</v>
      </c>
      <c r="C37" s="7">
        <v>1E-3</v>
      </c>
      <c r="D37" s="7">
        <v>0.1</v>
      </c>
      <c r="E37" s="6" t="s">
        <v>48</v>
      </c>
      <c r="F37" s="7">
        <v>1</v>
      </c>
      <c r="G37" s="6" t="s">
        <v>51</v>
      </c>
      <c r="H37" s="6" t="s">
        <v>66</v>
      </c>
      <c r="I37" s="6">
        <v>43</v>
      </c>
      <c r="J37" s="6">
        <v>3</v>
      </c>
      <c r="K37" s="6">
        <v>52</v>
      </c>
      <c r="L37" s="6">
        <v>156</v>
      </c>
      <c r="M37" s="6">
        <v>3.6280000000000001</v>
      </c>
      <c r="N37" s="6">
        <v>3</v>
      </c>
      <c r="O37" s="6">
        <v>0</v>
      </c>
      <c r="P37" s="6">
        <v>10000</v>
      </c>
      <c r="Q37" s="6">
        <v>7899</v>
      </c>
      <c r="R37" s="8">
        <v>0.81564074754714966</v>
      </c>
      <c r="S37" s="8">
        <v>2.5480279127756762</v>
      </c>
      <c r="T37" s="8"/>
      <c r="U37" s="8">
        <v>1.5247556368509929</v>
      </c>
      <c r="V37" s="8">
        <v>1.8134682178497319</v>
      </c>
      <c r="W37" s="8">
        <v>0.15614618360996241</v>
      </c>
      <c r="X37" s="9">
        <v>90.238623000999723</v>
      </c>
      <c r="Y37" s="9">
        <v>354.92208113299972</v>
      </c>
      <c r="Z37" s="7">
        <v>0.41377728684454451</v>
      </c>
      <c r="AA37" s="7">
        <v>0.32400000000000001</v>
      </c>
      <c r="AB37" s="7">
        <v>0.51100000000000001</v>
      </c>
      <c r="AC37" s="7">
        <v>1.1664439225569001E-3</v>
      </c>
      <c r="AD37" s="7">
        <v>0.33269345760345459</v>
      </c>
      <c r="AE37" s="7">
        <v>6.6983760334550996E-3</v>
      </c>
      <c r="AF37" s="6">
        <v>1</v>
      </c>
      <c r="AG37" s="7">
        <v>0.20021301507949829</v>
      </c>
      <c r="AH37" s="7">
        <v>6.0391354560852051</v>
      </c>
      <c r="AI37" s="7">
        <v>-5.2868563681840897E-2</v>
      </c>
      <c r="AJ37" s="7">
        <v>0</v>
      </c>
      <c r="AK37" s="7">
        <v>-3.5309438286143802E-2</v>
      </c>
      <c r="AL37" s="7">
        <v>0.64432080996349417</v>
      </c>
      <c r="AM37" s="7">
        <v>0.56288029261020855</v>
      </c>
      <c r="AN37" s="7">
        <v>0.53301158428583428</v>
      </c>
      <c r="AO37" s="7">
        <v>-0.92815054150487097</v>
      </c>
      <c r="AP37" s="7">
        <v>0.2210349273656626</v>
      </c>
      <c r="AQ37" s="7">
        <v>-3.8541759995780897E-2</v>
      </c>
      <c r="AR37" s="7">
        <v>0.1416810540490466</v>
      </c>
      <c r="AS37" s="7">
        <v>2.86409055855174E-2</v>
      </c>
      <c r="AT37" s="7">
        <v>0.68745210954422642</v>
      </c>
      <c r="AU37" s="7">
        <v>0.64101368999939035</v>
      </c>
      <c r="AV37" s="7">
        <v>0.51298892568993848</v>
      </c>
      <c r="AW37" s="7">
        <v>0.90826520208128403</v>
      </c>
      <c r="AX37" s="7">
        <v>0.91680994781387515</v>
      </c>
      <c r="AY37" s="7">
        <v>0.2321482911890472</v>
      </c>
      <c r="AZ37" s="7">
        <v>0.9782048403411332</v>
      </c>
      <c r="BA37" s="16">
        <f t="shared" si="2"/>
        <v>0.75885707035633487</v>
      </c>
      <c r="BB37" s="16">
        <f t="shared" si="3"/>
        <v>0.24758521327554359</v>
      </c>
    </row>
    <row r="38" spans="1:54" x14ac:dyDescent="0.25">
      <c r="A38" s="2" t="s">
        <v>64</v>
      </c>
      <c r="B38" s="2" t="s">
        <v>65</v>
      </c>
      <c r="C38" s="3">
        <v>1E-3</v>
      </c>
      <c r="D38" s="3">
        <v>0.1</v>
      </c>
      <c r="E38" s="2" t="s">
        <v>52</v>
      </c>
      <c r="F38" s="3">
        <v>1</v>
      </c>
      <c r="G38" s="2" t="s">
        <v>49</v>
      </c>
      <c r="H38" s="2" t="s">
        <v>67</v>
      </c>
      <c r="I38" s="2">
        <v>73</v>
      </c>
      <c r="J38" s="2">
        <v>3</v>
      </c>
      <c r="K38" s="2">
        <v>82</v>
      </c>
      <c r="L38" s="2">
        <v>156</v>
      </c>
      <c r="M38" s="2">
        <v>2.137</v>
      </c>
      <c r="N38" s="2">
        <v>2</v>
      </c>
      <c r="O38" s="2">
        <v>1</v>
      </c>
      <c r="P38" s="2">
        <v>4857</v>
      </c>
      <c r="Q38" s="2">
        <v>3653</v>
      </c>
      <c r="R38" s="4">
        <v>1.331034064292907</v>
      </c>
      <c r="S38" s="4">
        <v>2.0771991014480591</v>
      </c>
      <c r="T38" s="4"/>
      <c r="U38" s="4"/>
      <c r="V38" s="4">
        <v>102.2417068481445</v>
      </c>
      <c r="W38" s="4">
        <v>0.12732915580272669</v>
      </c>
      <c r="X38" s="5">
        <v>61.820412672000202</v>
      </c>
      <c r="Y38" s="5">
        <v>278.3581220420001</v>
      </c>
      <c r="Z38" s="3">
        <v>0.41377728684454451</v>
      </c>
      <c r="AA38" s="3">
        <v>0.32400000000000001</v>
      </c>
      <c r="AB38" s="3">
        <v>0.51100000000000001</v>
      </c>
      <c r="AC38" s="3">
        <v>6.6993793006980005E-4</v>
      </c>
      <c r="AD38" s="3">
        <v>0.33268851041793818</v>
      </c>
      <c r="AE38" s="3">
        <v>6.9576380774377996E-3</v>
      </c>
      <c r="AF38" s="2">
        <v>0</v>
      </c>
      <c r="AG38" s="3">
        <v>6.8691492080688393E-2</v>
      </c>
      <c r="AH38" s="3">
        <v>0.27708479762077332</v>
      </c>
      <c r="AI38" s="3">
        <v>0</v>
      </c>
      <c r="AJ38" s="3">
        <v>0</v>
      </c>
      <c r="AK38" s="3">
        <v>0.55058314176482614</v>
      </c>
      <c r="AL38" s="3">
        <v>0.80124480649147034</v>
      </c>
      <c r="AM38" s="3">
        <v>5.9445620550057001E-3</v>
      </c>
      <c r="AN38" s="3">
        <v>0.82499289594954561</v>
      </c>
      <c r="AO38" s="3">
        <v>0.60285806729718217</v>
      </c>
      <c r="AP38" s="3">
        <v>0.8153698968216303</v>
      </c>
      <c r="AQ38" s="3">
        <v>5.4419473950995702E-2</v>
      </c>
      <c r="AR38" s="3">
        <v>0.92497921174782205</v>
      </c>
      <c r="AS38" s="3">
        <v>0.50133962546584476</v>
      </c>
      <c r="AT38" s="3">
        <v>0.7779207703678247</v>
      </c>
      <c r="AU38" s="3">
        <v>8.4168884722714998E-2</v>
      </c>
      <c r="AV38" s="3">
        <v>0.7659311224189167</v>
      </c>
      <c r="AW38" s="3">
        <v>0.66399593140908664</v>
      </c>
      <c r="AX38" s="3">
        <v>0.69742329371059153</v>
      </c>
      <c r="AY38" s="3">
        <v>0.1496831275884643</v>
      </c>
      <c r="AZ38" s="3">
        <v>0.70018510271854495</v>
      </c>
      <c r="BA38" s="16">
        <f t="shared" si="2"/>
        <v>0.55282186385667187</v>
      </c>
      <c r="BB38" s="16">
        <f t="shared" si="3"/>
        <v>0.55914603825448161</v>
      </c>
    </row>
    <row r="39" spans="1:54" x14ac:dyDescent="0.25">
      <c r="A39" s="2" t="s">
        <v>64</v>
      </c>
      <c r="B39" s="2" t="s">
        <v>65</v>
      </c>
      <c r="C39" s="3">
        <v>1E-3</v>
      </c>
      <c r="D39" s="3">
        <v>0.1</v>
      </c>
      <c r="E39" s="2" t="s">
        <v>52</v>
      </c>
      <c r="F39" s="3">
        <v>1</v>
      </c>
      <c r="G39" s="2" t="s">
        <v>49</v>
      </c>
      <c r="H39" s="2" t="s">
        <v>67</v>
      </c>
      <c r="I39" s="2">
        <v>73</v>
      </c>
      <c r="J39" s="2">
        <v>3</v>
      </c>
      <c r="K39" s="2">
        <v>82</v>
      </c>
      <c r="L39" s="2">
        <v>156</v>
      </c>
      <c r="M39" s="2">
        <v>2.137</v>
      </c>
      <c r="N39" s="2">
        <v>3</v>
      </c>
      <c r="O39" s="2">
        <v>1</v>
      </c>
      <c r="P39" s="2">
        <v>6843</v>
      </c>
      <c r="Q39" s="2">
        <v>4315</v>
      </c>
      <c r="R39" s="4">
        <v>2.1581013202667241</v>
      </c>
      <c r="S39" s="4">
        <v>3.3548084894816079</v>
      </c>
      <c r="T39" s="4"/>
      <c r="U39" s="4"/>
      <c r="V39" s="4"/>
      <c r="W39" s="4">
        <v>0.27324396371841431</v>
      </c>
      <c r="X39" s="5">
        <v>75.657041187000686</v>
      </c>
      <c r="Y39" s="5">
        <v>363.24052299199872</v>
      </c>
      <c r="Z39" s="3">
        <v>0.41377728684454451</v>
      </c>
      <c r="AA39" s="3">
        <v>0.32400000000000001</v>
      </c>
      <c r="AB39" s="3">
        <v>0.51100000000000001</v>
      </c>
      <c r="AC39" s="3">
        <v>1.1766843963413999E-3</v>
      </c>
      <c r="AD39" s="3">
        <v>0.38654378056526179</v>
      </c>
      <c r="AE39" s="3">
        <v>7.1253492496907E-3</v>
      </c>
      <c r="AF39" s="2">
        <v>0</v>
      </c>
      <c r="AG39" s="3">
        <v>0.40000000596046448</v>
      </c>
      <c r="AH39" s="3">
        <v>3.2558472156524658</v>
      </c>
      <c r="AI39" s="3">
        <v>0</v>
      </c>
      <c r="AJ39" s="3">
        <v>0</v>
      </c>
      <c r="AK39" s="3">
        <v>0.45999061437622241</v>
      </c>
      <c r="AL39" s="3">
        <v>0.72207046021430832</v>
      </c>
      <c r="AM39" s="3">
        <v>-0.58110384038519092</v>
      </c>
      <c r="AN39" s="3">
        <v>0.8529705939989628</v>
      </c>
      <c r="AO39" s="3">
        <v>0.28862992727026549</v>
      </c>
      <c r="AP39" s="3">
        <v>0.65540488724568235</v>
      </c>
      <c r="AQ39" s="3">
        <v>-0.47497146011319308</v>
      </c>
      <c r="AR39" s="3">
        <v>0.83573966816879774</v>
      </c>
      <c r="AS39" s="3">
        <v>0.36097373754213541</v>
      </c>
      <c r="AT39" s="3">
        <v>0.71737178173050387</v>
      </c>
      <c r="AU39" s="3">
        <v>-0.87145108871476706</v>
      </c>
      <c r="AV39" s="3">
        <v>0.79464104118188239</v>
      </c>
      <c r="AW39" s="3">
        <v>0.98095506254145481</v>
      </c>
      <c r="AX39" s="3">
        <v>0.8282522376675221</v>
      </c>
      <c r="AY39" s="3">
        <v>-1.1073897722428609</v>
      </c>
      <c r="AZ39" s="3">
        <v>0.85098375385560154</v>
      </c>
      <c r="BA39" s="16">
        <f t="shared" si="2"/>
        <v>0.3882003204554294</v>
      </c>
      <c r="BB39" s="16">
        <f t="shared" si="3"/>
        <v>0.31335552687630081</v>
      </c>
    </row>
    <row r="40" spans="1:54" x14ac:dyDescent="0.25">
      <c r="A40" s="2" t="s">
        <v>64</v>
      </c>
      <c r="B40" s="2" t="s">
        <v>65</v>
      </c>
      <c r="C40" s="3">
        <v>1E-3</v>
      </c>
      <c r="D40" s="3">
        <v>0.1</v>
      </c>
      <c r="E40" s="2" t="s">
        <v>52</v>
      </c>
      <c r="F40" s="3">
        <v>1</v>
      </c>
      <c r="G40" s="2" t="s">
        <v>51</v>
      </c>
      <c r="H40" s="2" t="s">
        <v>67</v>
      </c>
      <c r="I40" s="2">
        <v>73</v>
      </c>
      <c r="J40" s="2">
        <v>3</v>
      </c>
      <c r="K40" s="2">
        <v>82</v>
      </c>
      <c r="L40" s="2">
        <v>156</v>
      </c>
      <c r="M40" s="2">
        <v>2.137</v>
      </c>
      <c r="N40" s="2">
        <v>2</v>
      </c>
      <c r="O40" s="2">
        <v>0</v>
      </c>
      <c r="P40" s="2">
        <v>10000</v>
      </c>
      <c r="Q40" s="2">
        <v>9213</v>
      </c>
      <c r="R40" s="4">
        <v>2.1210834980010982</v>
      </c>
      <c r="S40" s="4">
        <v>2.7817606131235761</v>
      </c>
      <c r="T40" s="4"/>
      <c r="U40" s="4">
        <v>2.6921505928039551</v>
      </c>
      <c r="V40" s="4">
        <v>2.3470509052276611</v>
      </c>
      <c r="W40" s="4">
        <v>2.4990340694785101E-2</v>
      </c>
      <c r="X40" s="5">
        <v>104.6985167749999</v>
      </c>
      <c r="Y40" s="5">
        <v>1091.7270386739999</v>
      </c>
      <c r="Z40" s="3">
        <v>0.41377728684454451</v>
      </c>
      <c r="AA40" s="3">
        <v>0.32400000000000001</v>
      </c>
      <c r="AB40" s="3">
        <v>0.51100000000000001</v>
      </c>
      <c r="AC40" s="3">
        <v>1.6586726997046999E-3</v>
      </c>
      <c r="AD40" s="3">
        <v>0.29219838976860041</v>
      </c>
      <c r="AE40" s="3">
        <v>6.3467691652475998E-3</v>
      </c>
      <c r="AF40" s="2">
        <v>0</v>
      </c>
      <c r="AG40" s="3">
        <v>0.2495823055505752</v>
      </c>
      <c r="AH40" s="3">
        <v>1.0770915746688841</v>
      </c>
      <c r="AI40" s="3">
        <v>0</v>
      </c>
      <c r="AJ40" s="3">
        <v>0</v>
      </c>
      <c r="AK40" s="3">
        <v>0.96490711494486403</v>
      </c>
      <c r="AL40" s="3">
        <v>0.91984100905471256</v>
      </c>
      <c r="AM40" s="3">
        <v>-0.58110384038519092</v>
      </c>
      <c r="AN40" s="3">
        <v>0.96492182102020196</v>
      </c>
      <c r="AO40" s="3">
        <v>0.89350343834290114</v>
      </c>
      <c r="AP40" s="3">
        <v>0.9622568625813448</v>
      </c>
      <c r="AQ40" s="3">
        <v>-0.47497146011319308</v>
      </c>
      <c r="AR40" s="3">
        <v>0.97186148215948598</v>
      </c>
      <c r="AS40" s="3">
        <v>0.9417754017707084</v>
      </c>
      <c r="AT40" s="3">
        <v>0.92039253390030484</v>
      </c>
      <c r="AU40" s="3">
        <v>-0.87145108871476706</v>
      </c>
      <c r="AV40" s="3">
        <v>0.94907592644522598</v>
      </c>
      <c r="AW40" s="3">
        <v>0.75394541145683103</v>
      </c>
      <c r="AX40" s="3">
        <v>0.93795017469989495</v>
      </c>
      <c r="AY40" s="3">
        <v>-1.1073897722428609</v>
      </c>
      <c r="AZ40" s="3">
        <v>0.8494338510573578</v>
      </c>
      <c r="BA40" s="16">
        <f t="shared" si="2"/>
        <v>0.35848491624280571</v>
      </c>
      <c r="BB40" s="16">
        <f t="shared" si="3"/>
        <v>0.5467507667505499</v>
      </c>
    </row>
    <row r="41" spans="1:54" x14ac:dyDescent="0.25">
      <c r="A41" s="2" t="s">
        <v>64</v>
      </c>
      <c r="B41" s="2" t="s">
        <v>65</v>
      </c>
      <c r="C41" s="3">
        <v>1E-3</v>
      </c>
      <c r="D41" s="3">
        <v>0.1</v>
      </c>
      <c r="E41" s="2" t="s">
        <v>52</v>
      </c>
      <c r="F41" s="3">
        <v>1</v>
      </c>
      <c r="G41" s="2" t="s">
        <v>51</v>
      </c>
      <c r="H41" s="2" t="s">
        <v>67</v>
      </c>
      <c r="I41" s="2">
        <v>73</v>
      </c>
      <c r="J41" s="2">
        <v>3</v>
      </c>
      <c r="K41" s="2">
        <v>82</v>
      </c>
      <c r="L41" s="2">
        <v>156</v>
      </c>
      <c r="M41" s="2">
        <v>2.137</v>
      </c>
      <c r="N41" s="2">
        <v>3</v>
      </c>
      <c r="O41" s="2">
        <v>0</v>
      </c>
      <c r="P41" s="2">
        <v>10000</v>
      </c>
      <c r="Q41" s="2">
        <v>9049</v>
      </c>
      <c r="R41" s="4">
        <v>0.85941195487976074</v>
      </c>
      <c r="S41" s="4">
        <v>2.1094950040181479</v>
      </c>
      <c r="T41" s="4"/>
      <c r="U41" s="4">
        <v>1.502559860547384</v>
      </c>
      <c r="V41" s="4">
        <v>1.5754727125167849</v>
      </c>
      <c r="W41" s="4">
        <v>8.0992087721824604E-2</v>
      </c>
      <c r="X41" s="5">
        <v>107.3525229120005</v>
      </c>
      <c r="Y41" s="5">
        <v>1410.9259841109999</v>
      </c>
      <c r="Z41" s="3">
        <v>0.41377728684454451</v>
      </c>
      <c r="AA41" s="3">
        <v>0.32400000000000001</v>
      </c>
      <c r="AB41" s="3">
        <v>0.51100000000000001</v>
      </c>
      <c r="AC41" s="3">
        <v>1.5785790747030999E-3</v>
      </c>
      <c r="AD41" s="3">
        <v>0.30037763714790339</v>
      </c>
      <c r="AE41" s="3">
        <v>6.1229891143738998E-3</v>
      </c>
      <c r="AF41" s="2">
        <v>0</v>
      </c>
      <c r="AG41" s="3">
        <v>8.3127498626708901E-2</v>
      </c>
      <c r="AH41" s="3">
        <v>0.34957709908485413</v>
      </c>
      <c r="AI41" s="3">
        <v>0</v>
      </c>
      <c r="AJ41" s="3">
        <v>0</v>
      </c>
      <c r="AK41" s="3">
        <v>0.49438360247897861</v>
      </c>
      <c r="AL41" s="3">
        <v>0.85001678037141182</v>
      </c>
      <c r="AM41" s="3">
        <v>0.1097116589404202</v>
      </c>
      <c r="AN41" s="3">
        <v>0.72988268524327227</v>
      </c>
      <c r="AO41" s="3">
        <v>0.6498867652478828</v>
      </c>
      <c r="AP41" s="3">
        <v>0.92323396302628158</v>
      </c>
      <c r="AQ41" s="3">
        <v>-6.4327309614742895E-2</v>
      </c>
      <c r="AR41" s="3">
        <v>0.8571106995355533</v>
      </c>
      <c r="AS41" s="3">
        <v>0.459749080297914</v>
      </c>
      <c r="AT41" s="3">
        <v>0.63660031726299093</v>
      </c>
      <c r="AU41" s="3">
        <v>0.11480061537972309</v>
      </c>
      <c r="AV41" s="3">
        <v>0.71701807149632146</v>
      </c>
      <c r="AW41" s="3">
        <v>0.90269163717267975</v>
      </c>
      <c r="AX41" s="3">
        <v>0.98826970099797984</v>
      </c>
      <c r="AY41" s="3">
        <v>0.1177855618613448</v>
      </c>
      <c r="AZ41" s="3">
        <v>0.96074871683172924</v>
      </c>
      <c r="BA41" s="16">
        <f t="shared" si="2"/>
        <v>0.74237390421593341</v>
      </c>
      <c r="BB41" s="16">
        <f t="shared" si="3"/>
        <v>0.5398389108055005</v>
      </c>
    </row>
    <row r="42" spans="1:54" x14ac:dyDescent="0.25">
      <c r="A42" s="2" t="s">
        <v>64</v>
      </c>
      <c r="B42" s="2" t="s">
        <v>65</v>
      </c>
      <c r="C42" s="3">
        <v>1E-3</v>
      </c>
      <c r="D42" s="3">
        <v>0.1</v>
      </c>
      <c r="E42" s="2" t="s">
        <v>54</v>
      </c>
      <c r="F42" s="3">
        <v>1</v>
      </c>
      <c r="G42" s="2" t="s">
        <v>49</v>
      </c>
      <c r="H42" s="2" t="s">
        <v>68</v>
      </c>
      <c r="I42" s="2">
        <v>171</v>
      </c>
      <c r="J42" s="2">
        <v>3</v>
      </c>
      <c r="K42" s="2">
        <v>180</v>
      </c>
      <c r="L42" s="2">
        <v>156</v>
      </c>
      <c r="M42" s="2">
        <v>0.91200000000000003</v>
      </c>
      <c r="N42" s="2">
        <v>2</v>
      </c>
      <c r="O42" s="2">
        <v>1</v>
      </c>
      <c r="P42" s="2">
        <v>1184</v>
      </c>
      <c r="Q42" s="2">
        <v>1084</v>
      </c>
      <c r="R42" s="4">
        <v>1.3448173999786379</v>
      </c>
      <c r="S42" s="4">
        <v>4.2493267059326172</v>
      </c>
      <c r="T42" s="4"/>
      <c r="U42" s="4"/>
      <c r="V42" s="4">
        <v>2.7818293571472168</v>
      </c>
      <c r="W42" s="4">
        <v>0.12130656093358989</v>
      </c>
      <c r="X42" s="5">
        <v>38.325373138000032</v>
      </c>
      <c r="Y42" s="5">
        <v>91.449219551002898</v>
      </c>
      <c r="Z42" s="3">
        <v>0.41377728684454451</v>
      </c>
      <c r="AA42" s="3">
        <v>0.32400000000000001</v>
      </c>
      <c r="AB42" s="3">
        <v>0.51100000000000001</v>
      </c>
      <c r="AC42" s="3">
        <v>1.1079758405685E-3</v>
      </c>
      <c r="AD42" s="3">
        <v>0.30696725845336909</v>
      </c>
      <c r="AE42" s="3">
        <v>7.1119754575192E-3</v>
      </c>
      <c r="AF42" s="2">
        <v>0</v>
      </c>
      <c r="AG42" s="3">
        <v>4.7359101474285098E-2</v>
      </c>
      <c r="AH42" s="3">
        <v>8.6742238998413086</v>
      </c>
      <c r="AI42" s="3">
        <v>0</v>
      </c>
      <c r="AJ42" s="3">
        <v>0</v>
      </c>
      <c r="AK42" s="3">
        <v>-0.1952214415673976</v>
      </c>
      <c r="AL42" s="3">
        <v>0.43049660934472411</v>
      </c>
      <c r="AM42" s="3">
        <v>-0.2394594660058515</v>
      </c>
      <c r="AN42" s="3">
        <v>0.3712230876951369</v>
      </c>
      <c r="AO42" s="3">
        <v>-0.87659063615811927</v>
      </c>
      <c r="AP42" s="3">
        <v>-0.69162308742320056</v>
      </c>
      <c r="AQ42" s="3">
        <v>-0.31666093616924579</v>
      </c>
      <c r="AR42" s="3">
        <v>8.4179730854083701E-2</v>
      </c>
      <c r="AS42" s="3">
        <v>0.13793278131122641</v>
      </c>
      <c r="AT42" s="3">
        <v>0.50552139563157983</v>
      </c>
      <c r="AU42" s="3">
        <v>-0.2085173167783502</v>
      </c>
      <c r="AV42" s="3">
        <v>0.51848654437645392</v>
      </c>
      <c r="AW42" s="3">
        <v>0.59593638264905313</v>
      </c>
      <c r="AX42" s="3">
        <v>0.69057572154930513</v>
      </c>
      <c r="AY42" s="3">
        <v>0.1591850593161111</v>
      </c>
      <c r="AZ42" s="3">
        <v>0.71052497773849566</v>
      </c>
      <c r="BA42" s="16">
        <f t="shared" si="2"/>
        <v>0.53905553531324124</v>
      </c>
      <c r="BB42" s="16">
        <f t="shared" si="3"/>
        <v>-4.0019394574079999E-2</v>
      </c>
    </row>
    <row r="43" spans="1:54" x14ac:dyDescent="0.25">
      <c r="A43" s="2" t="s">
        <v>64</v>
      </c>
      <c r="B43" s="2" t="s">
        <v>65</v>
      </c>
      <c r="C43" s="3">
        <v>1E-3</v>
      </c>
      <c r="D43" s="3">
        <v>0.1</v>
      </c>
      <c r="E43" s="2" t="s">
        <v>54</v>
      </c>
      <c r="F43" s="3">
        <v>1</v>
      </c>
      <c r="G43" s="2" t="s">
        <v>49</v>
      </c>
      <c r="H43" s="2" t="s">
        <v>68</v>
      </c>
      <c r="I43" s="2">
        <v>171</v>
      </c>
      <c r="J43" s="2">
        <v>3</v>
      </c>
      <c r="K43" s="2">
        <v>180</v>
      </c>
      <c r="L43" s="2">
        <v>156</v>
      </c>
      <c r="M43" s="2">
        <v>0.91200000000000003</v>
      </c>
      <c r="N43" s="2">
        <v>3</v>
      </c>
      <c r="O43" s="2">
        <v>1</v>
      </c>
      <c r="P43" s="2">
        <v>716</v>
      </c>
      <c r="Q43" s="2">
        <v>62</v>
      </c>
      <c r="R43" s="4">
        <v>1.174845933914185</v>
      </c>
      <c r="S43" s="4">
        <v>4.0339821974436454</v>
      </c>
      <c r="T43" s="4"/>
      <c r="U43" s="4"/>
      <c r="V43" s="4">
        <v>2.6647415161132808</v>
      </c>
      <c r="W43" s="4">
        <v>0.11115199327468871</v>
      </c>
      <c r="X43" s="5">
        <v>34.41525672500029</v>
      </c>
      <c r="Y43" s="5">
        <v>60.176136852998752</v>
      </c>
      <c r="Z43" s="3">
        <v>0.41377728684454451</v>
      </c>
      <c r="AA43" s="3">
        <v>0.32400000000000001</v>
      </c>
      <c r="AB43" s="3">
        <v>0.51100000000000001</v>
      </c>
      <c r="AC43" s="3">
        <v>1.1379844509064999E-3</v>
      </c>
      <c r="AD43" s="3">
        <v>0.38746631145477289</v>
      </c>
      <c r="AE43" s="3">
        <v>8.0298082903026997E-3</v>
      </c>
      <c r="AF43" s="2">
        <v>1</v>
      </c>
      <c r="AG43" s="3">
        <v>0.21181266009807581</v>
      </c>
      <c r="AH43" s="3">
        <v>-8.5408134460449219</v>
      </c>
      <c r="AI43" s="3">
        <v>0</v>
      </c>
      <c r="AJ43" s="3">
        <v>0</v>
      </c>
      <c r="AK43" s="3">
        <v>-0.30002062413231489</v>
      </c>
      <c r="AL43" s="3">
        <v>0.3616315329362409</v>
      </c>
      <c r="AM43" s="3">
        <v>-3.8168119339633003E-2</v>
      </c>
      <c r="AN43" s="3">
        <v>0.57630519111654643</v>
      </c>
      <c r="AO43" s="3">
        <v>-1.3381786837942631</v>
      </c>
      <c r="AP43" s="3">
        <v>-0.63533355388179147</v>
      </c>
      <c r="AQ43" s="3">
        <v>-0.396425410673586</v>
      </c>
      <c r="AR43" s="3">
        <v>0.1772333146806073</v>
      </c>
      <c r="AS43" s="3">
        <v>0.1745606970360464</v>
      </c>
      <c r="AT43" s="3">
        <v>0.40089345653777592</v>
      </c>
      <c r="AU43" s="3">
        <v>0.13541547245903179</v>
      </c>
      <c r="AV43" s="3">
        <v>0.78155725879519056</v>
      </c>
      <c r="AW43" s="3">
        <v>0.80680181430931042</v>
      </c>
      <c r="AX43" s="3">
        <v>0.72606424464758634</v>
      </c>
      <c r="AY43" s="3">
        <v>0.1347736456165298</v>
      </c>
      <c r="AZ43" s="3">
        <v>0.88187991529938614</v>
      </c>
      <c r="BA43" s="16">
        <f t="shared" si="2"/>
        <v>0.63737990496820318</v>
      </c>
      <c r="BB43" s="16">
        <f t="shared" si="3"/>
        <v>-8.3774556883457561E-3</v>
      </c>
    </row>
    <row r="44" spans="1:54" x14ac:dyDescent="0.25">
      <c r="A44" s="2" t="s">
        <v>64</v>
      </c>
      <c r="B44" s="2" t="s">
        <v>65</v>
      </c>
      <c r="C44" s="3">
        <v>1E-3</v>
      </c>
      <c r="D44" s="3">
        <v>0.1</v>
      </c>
      <c r="E44" s="2" t="s">
        <v>54</v>
      </c>
      <c r="F44" s="3">
        <v>1</v>
      </c>
      <c r="G44" s="2" t="s">
        <v>51</v>
      </c>
      <c r="H44" s="2" t="s">
        <v>68</v>
      </c>
      <c r="I44" s="2">
        <v>171</v>
      </c>
      <c r="J44" s="2">
        <v>3</v>
      </c>
      <c r="K44" s="2">
        <v>180</v>
      </c>
      <c r="L44" s="2">
        <v>156</v>
      </c>
      <c r="M44" s="2">
        <v>0.91200000000000003</v>
      </c>
      <c r="N44" s="2">
        <v>2</v>
      </c>
      <c r="O44" s="2">
        <v>1</v>
      </c>
      <c r="P44" s="2">
        <v>2258</v>
      </c>
      <c r="Q44" s="2">
        <v>530</v>
      </c>
      <c r="R44" s="4">
        <v>1.562819242477417</v>
      </c>
      <c r="S44" s="4">
        <v>2.7074753046035771</v>
      </c>
      <c r="T44" s="4"/>
      <c r="U44" s="4">
        <v>6.7789379911760549E+32</v>
      </c>
      <c r="V44" s="4">
        <v>2.185366153717041</v>
      </c>
      <c r="W44" s="4">
        <v>0.41269400715827942</v>
      </c>
      <c r="X44" s="5">
        <v>49.534332569000071</v>
      </c>
      <c r="Y44" s="5">
        <v>947.47086643700095</v>
      </c>
      <c r="Z44" s="3">
        <v>0.41377728684454451</v>
      </c>
      <c r="AA44" s="3">
        <v>0.32400000000000001</v>
      </c>
      <c r="AB44" s="3">
        <v>0.51100000000000001</v>
      </c>
      <c r="AC44" s="3">
        <v>1.1361982906237E-3</v>
      </c>
      <c r="AD44" s="3">
        <v>0.24267019331455231</v>
      </c>
      <c r="AE44" s="3">
        <v>2.00172532349824E-2</v>
      </c>
      <c r="AF44" s="2">
        <v>1</v>
      </c>
      <c r="AG44" s="3">
        <v>0.2975656390190124</v>
      </c>
      <c r="AH44" s="3">
        <v>-7.6644468307495117</v>
      </c>
      <c r="AI44" s="3">
        <v>-0.9170149564743042</v>
      </c>
      <c r="AJ44" s="3">
        <v>0</v>
      </c>
      <c r="AK44" s="3">
        <v>-1.05786200743479</v>
      </c>
      <c r="AL44" s="3">
        <v>0.5054636650033616</v>
      </c>
      <c r="AM44" s="3">
        <v>0.26997142306918348</v>
      </c>
      <c r="AN44" s="3">
        <v>0.61024853984655003</v>
      </c>
      <c r="AO44" s="3">
        <v>-1.859495574667253</v>
      </c>
      <c r="AP44" s="3">
        <v>0.4727049747249546</v>
      </c>
      <c r="AQ44" s="3">
        <v>0.34170472028752069</v>
      </c>
      <c r="AR44" s="3">
        <v>0.22572264818864191</v>
      </c>
      <c r="AS44" s="3">
        <v>-0.80878332905805594</v>
      </c>
      <c r="AT44" s="3">
        <v>0.56432922318222611</v>
      </c>
      <c r="AU44" s="3">
        <v>0.32950768751422821</v>
      </c>
      <c r="AV44" s="3">
        <v>0.80542675888666071</v>
      </c>
      <c r="AW44" s="3">
        <v>0.15269657500880859</v>
      </c>
      <c r="AX44" s="3">
        <v>0.69582233082502387</v>
      </c>
      <c r="AY44" s="3">
        <v>0.1013402131229329</v>
      </c>
      <c r="AZ44" s="3">
        <v>0.64805488458706817</v>
      </c>
      <c r="BA44" s="16">
        <f t="shared" si="2"/>
        <v>0.39947850088595838</v>
      </c>
      <c r="BB44" s="16">
        <f t="shared" si="3"/>
        <v>3.3244894128602369E-2</v>
      </c>
    </row>
    <row r="45" spans="1:54" x14ac:dyDescent="0.25">
      <c r="A45" s="2" t="s">
        <v>64</v>
      </c>
      <c r="B45" s="2" t="s">
        <v>65</v>
      </c>
      <c r="C45" s="3">
        <v>1E-3</v>
      </c>
      <c r="D45" s="3">
        <v>0.1</v>
      </c>
      <c r="E45" s="2" t="s">
        <v>54</v>
      </c>
      <c r="F45" s="3">
        <v>1</v>
      </c>
      <c r="G45" s="2" t="s">
        <v>51</v>
      </c>
      <c r="H45" s="2" t="s">
        <v>68</v>
      </c>
      <c r="I45" s="2">
        <v>171</v>
      </c>
      <c r="J45" s="2">
        <v>3</v>
      </c>
      <c r="K45" s="2">
        <v>180</v>
      </c>
      <c r="L45" s="2">
        <v>156</v>
      </c>
      <c r="M45" s="2">
        <v>0.91200000000000003</v>
      </c>
      <c r="N45" s="2">
        <v>3</v>
      </c>
      <c r="O45" s="2">
        <v>0</v>
      </c>
      <c r="P45" s="2">
        <v>10000</v>
      </c>
      <c r="Q45" s="2">
        <v>2567</v>
      </c>
      <c r="R45" s="4">
        <v>0.92909735441207875</v>
      </c>
      <c r="S45" s="4">
        <v>1.8377856810887649</v>
      </c>
      <c r="T45" s="4"/>
      <c r="U45" s="4">
        <v>1.4916104873021441</v>
      </c>
      <c r="V45" s="4">
        <v>2.042263507843018</v>
      </c>
      <c r="W45" s="4">
        <v>2.05939393490552E-2</v>
      </c>
      <c r="X45" s="5">
        <v>118.9139932099997</v>
      </c>
      <c r="Y45" s="5">
        <v>2689.227361191</v>
      </c>
      <c r="Z45" s="3">
        <v>0.41377728684454451</v>
      </c>
      <c r="AA45" s="3">
        <v>0.32400000000000001</v>
      </c>
      <c r="AB45" s="3">
        <v>0.51100000000000001</v>
      </c>
      <c r="AC45" s="3">
        <v>1.2940827291457999E-3</v>
      </c>
      <c r="AD45" s="3">
        <v>0.29936492443084711</v>
      </c>
      <c r="AE45" s="3">
        <v>6.4277835190296E-3</v>
      </c>
      <c r="AF45" s="2">
        <v>0</v>
      </c>
      <c r="AG45" s="3">
        <v>0.15519401431083679</v>
      </c>
      <c r="AH45" s="3">
        <v>1.0254387855529781</v>
      </c>
      <c r="AI45" s="3">
        <v>0</v>
      </c>
      <c r="AJ45" s="3">
        <v>0</v>
      </c>
      <c r="AK45" s="3">
        <v>0.83189418680910876</v>
      </c>
      <c r="AL45" s="3">
        <v>0.85177039225534923</v>
      </c>
      <c r="AM45" s="3">
        <v>0.110042152639775</v>
      </c>
      <c r="AN45" s="3">
        <v>0.91233500828422642</v>
      </c>
      <c r="AO45" s="3">
        <v>0.73143478168135989</v>
      </c>
      <c r="AP45" s="3">
        <v>0.9065619524049584</v>
      </c>
      <c r="AQ45" s="3">
        <v>-7.0914517368143E-3</v>
      </c>
      <c r="AR45" s="3">
        <v>0.92698689734814244</v>
      </c>
      <c r="AS45" s="3">
        <v>0.8335125068702538</v>
      </c>
      <c r="AT45" s="3">
        <v>0.81749165263489709</v>
      </c>
      <c r="AU45" s="3">
        <v>0.1286937317871929</v>
      </c>
      <c r="AV45" s="3">
        <v>0.9083300316716888</v>
      </c>
      <c r="AW45" s="3">
        <v>0.86506951664411735</v>
      </c>
      <c r="AX45" s="3">
        <v>0.90718027963579795</v>
      </c>
      <c r="AY45" s="3">
        <v>0.16999746774965729</v>
      </c>
      <c r="AZ45" s="3">
        <v>0.91376797931853915</v>
      </c>
      <c r="BA45" s="16">
        <f t="shared" si="2"/>
        <v>0.71400381083702791</v>
      </c>
      <c r="BB45" s="16">
        <f t="shared" si="3"/>
        <v>0.66266348688751153</v>
      </c>
    </row>
    <row r="46" spans="1:54" x14ac:dyDescent="0.25">
      <c r="A46" s="2" t="s">
        <v>64</v>
      </c>
      <c r="B46" s="2" t="s">
        <v>65</v>
      </c>
      <c r="C46" s="3">
        <v>1E-3</v>
      </c>
      <c r="D46" s="3">
        <v>0.1</v>
      </c>
      <c r="E46" s="2" t="s">
        <v>56</v>
      </c>
      <c r="F46" s="3">
        <v>1</v>
      </c>
      <c r="G46" s="2" t="s">
        <v>49</v>
      </c>
      <c r="H46" s="2" t="s">
        <v>69</v>
      </c>
      <c r="I46" s="2">
        <v>227</v>
      </c>
      <c r="J46" s="2">
        <v>3</v>
      </c>
      <c r="K46" s="2">
        <v>236</v>
      </c>
      <c r="L46" s="2">
        <v>156</v>
      </c>
      <c r="M46" s="2">
        <v>0.68700000000000006</v>
      </c>
      <c r="N46" s="2">
        <v>2</v>
      </c>
      <c r="O46" s="2">
        <v>1</v>
      </c>
      <c r="P46" s="2">
        <v>283</v>
      </c>
      <c r="Q46" s="2">
        <v>282</v>
      </c>
      <c r="R46" s="4">
        <v>5.9711689949035636</v>
      </c>
      <c r="S46" s="4">
        <v>5.6055890719095869</v>
      </c>
      <c r="T46" s="4"/>
      <c r="U46" s="4">
        <v>14.862059752146401</v>
      </c>
      <c r="V46" s="4"/>
      <c r="W46" s="4">
        <v>0.37720045447349548</v>
      </c>
      <c r="X46" s="5">
        <v>33.70678691699959</v>
      </c>
      <c r="Y46" s="5">
        <v>30.77008036400002</v>
      </c>
      <c r="Z46" s="3">
        <v>0.41377728684454451</v>
      </c>
      <c r="AA46" s="3">
        <v>0.32400000000000001</v>
      </c>
      <c r="AB46" s="3">
        <v>0.51100000000000001</v>
      </c>
      <c r="AC46" s="3">
        <v>2.0189334172754998E-3</v>
      </c>
      <c r="AD46" s="3">
        <v>0.20178346335887909</v>
      </c>
      <c r="AE46" s="3">
        <v>2.18212250620126E-2</v>
      </c>
      <c r="AF46" s="2">
        <v>0</v>
      </c>
      <c r="AG46" s="3">
        <v>0.31637030839920038</v>
      </c>
      <c r="AH46" s="3">
        <v>14.15552234649658</v>
      </c>
      <c r="AI46" s="3">
        <v>0</v>
      </c>
      <c r="AJ46" s="3">
        <v>0</v>
      </c>
      <c r="AK46" s="3">
        <v>-2.6398351210358442</v>
      </c>
      <c r="AL46" s="3">
        <v>-0.1617434816447311</v>
      </c>
      <c r="AM46" s="3">
        <v>7.3203205356890205E-2</v>
      </c>
      <c r="AN46" s="3">
        <v>-0.83661825976377835</v>
      </c>
      <c r="AO46" s="3">
        <v>-2.9421456264314481</v>
      </c>
      <c r="AP46" s="3">
        <v>-0.5508574996486546</v>
      </c>
      <c r="AQ46" s="3">
        <v>7.3353718471566798E-2</v>
      </c>
      <c r="AR46" s="3">
        <v>-0.99112172383778596</v>
      </c>
      <c r="AS46" s="3">
        <v>-2.6478755277126398</v>
      </c>
      <c r="AT46" s="3">
        <v>-0.39168770228504779</v>
      </c>
      <c r="AU46" s="3">
        <v>1.1782514547328999E-3</v>
      </c>
      <c r="AV46" s="3">
        <v>-0.78135635315320218</v>
      </c>
      <c r="AW46" s="3">
        <v>-2.3490262266981419</v>
      </c>
      <c r="AX46" s="3">
        <v>-1.6259177163845839</v>
      </c>
      <c r="AY46" s="3">
        <v>-0.67383437374554567</v>
      </c>
      <c r="AZ46" s="3">
        <v>-0.54920253060032165</v>
      </c>
      <c r="BA46" s="16">
        <f t="shared" si="2"/>
        <v>-1.2994952118571481</v>
      </c>
      <c r="BB46" s="16">
        <f t="shared" si="3"/>
        <v>-0.98295884335249528</v>
      </c>
    </row>
    <row r="47" spans="1:54" x14ac:dyDescent="0.25">
      <c r="A47" s="2" t="s">
        <v>64</v>
      </c>
      <c r="B47" s="2" t="s">
        <v>65</v>
      </c>
      <c r="C47" s="3">
        <v>1E-3</v>
      </c>
      <c r="D47" s="3">
        <v>0.1</v>
      </c>
      <c r="E47" s="2" t="s">
        <v>56</v>
      </c>
      <c r="F47" s="3">
        <v>1</v>
      </c>
      <c r="G47" s="2" t="s">
        <v>49</v>
      </c>
      <c r="H47" s="2" t="s">
        <v>69</v>
      </c>
      <c r="I47" s="2">
        <v>227</v>
      </c>
      <c r="J47" s="2">
        <v>3</v>
      </c>
      <c r="K47" s="2">
        <v>236</v>
      </c>
      <c r="L47" s="2">
        <v>156</v>
      </c>
      <c r="M47" s="2">
        <v>0.68700000000000006</v>
      </c>
      <c r="N47" s="2">
        <v>3</v>
      </c>
      <c r="O47" s="2">
        <v>1</v>
      </c>
      <c r="P47" s="2">
        <v>7655</v>
      </c>
      <c r="Q47" s="2">
        <v>1716</v>
      </c>
      <c r="R47" s="4">
        <v>1.2175493240356441</v>
      </c>
      <c r="S47" s="4">
        <v>1.960781653722127</v>
      </c>
      <c r="T47" s="4"/>
      <c r="U47" s="4"/>
      <c r="V47" s="4"/>
      <c r="W47" s="4">
        <v>3.8741398602723999E-2</v>
      </c>
      <c r="X47" s="5">
        <v>89.418920690999585</v>
      </c>
      <c r="Y47" s="5">
        <v>352.57278022000168</v>
      </c>
      <c r="Z47" s="3">
        <v>0.41377728684454451</v>
      </c>
      <c r="AA47" s="3">
        <v>0.32400000000000001</v>
      </c>
      <c r="AB47" s="3">
        <v>0.51100000000000001</v>
      </c>
      <c r="AC47" s="3">
        <v>1.0636756196618E-3</v>
      </c>
      <c r="AD47" s="3">
        <v>0.26423454284667969</v>
      </c>
      <c r="AE47" s="3">
        <v>7.3080542497335997E-3</v>
      </c>
      <c r="AF47" s="2">
        <v>0</v>
      </c>
      <c r="AG47" s="3">
        <v>6.8501129746437003E-2</v>
      </c>
      <c r="AH47" s="3">
        <v>1.1986052989959719</v>
      </c>
      <c r="AI47" s="3">
        <v>0</v>
      </c>
      <c r="AJ47" s="3">
        <v>0</v>
      </c>
      <c r="AK47" s="3">
        <v>0.71341185044973954</v>
      </c>
      <c r="AL47" s="3">
        <v>0.72036280490751214</v>
      </c>
      <c r="AM47" s="3">
        <v>0.14264224554966409</v>
      </c>
      <c r="AN47" s="3">
        <v>0.88075412460823976</v>
      </c>
      <c r="AO47" s="3">
        <v>0.58770607896643257</v>
      </c>
      <c r="AP47" s="3">
        <v>0.79695147057237992</v>
      </c>
      <c r="AQ47" s="3">
        <v>9.0100264254816695E-2</v>
      </c>
      <c r="AR47" s="3">
        <v>0.89432923815180654</v>
      </c>
      <c r="AS47" s="3">
        <v>0.67448954594740651</v>
      </c>
      <c r="AT47" s="3">
        <v>0.70216428662346364</v>
      </c>
      <c r="AU47" s="3">
        <v>0.1381759140053978</v>
      </c>
      <c r="AV47" s="3">
        <v>0.89275146740731059</v>
      </c>
      <c r="AW47" s="3">
        <v>0.73052607690514315</v>
      </c>
      <c r="AX47" s="3">
        <v>0.80239214091847877</v>
      </c>
      <c r="AY47" s="3">
        <v>7.8700581997272298E-2</v>
      </c>
      <c r="AZ47" s="3">
        <v>0.79996275100004643</v>
      </c>
      <c r="BA47" s="16">
        <f t="shared" si="2"/>
        <v>0.60289538770523521</v>
      </c>
      <c r="BB47" s="16">
        <f t="shared" si="3"/>
        <v>0.60281994095368086</v>
      </c>
    </row>
    <row r="48" spans="1:54" x14ac:dyDescent="0.25">
      <c r="A48" s="2" t="s">
        <v>64</v>
      </c>
      <c r="B48" s="2" t="s">
        <v>65</v>
      </c>
      <c r="C48" s="3">
        <v>1E-3</v>
      </c>
      <c r="D48" s="3">
        <v>0.1</v>
      </c>
      <c r="E48" s="2" t="s">
        <v>56</v>
      </c>
      <c r="F48" s="3">
        <v>1</v>
      </c>
      <c r="G48" s="2" t="s">
        <v>51</v>
      </c>
      <c r="H48" s="2" t="s">
        <v>69</v>
      </c>
      <c r="I48" s="2">
        <v>227</v>
      </c>
      <c r="J48" s="2">
        <v>3</v>
      </c>
      <c r="K48" s="2">
        <v>236</v>
      </c>
      <c r="L48" s="2">
        <v>156</v>
      </c>
      <c r="M48" s="2">
        <v>0.68700000000000006</v>
      </c>
      <c r="N48" s="2">
        <v>2</v>
      </c>
      <c r="O48" s="2">
        <v>0</v>
      </c>
      <c r="P48" s="2">
        <v>10000</v>
      </c>
      <c r="Q48" s="2">
        <v>5733</v>
      </c>
      <c r="R48" s="4">
        <v>0.92412585020065319</v>
      </c>
      <c r="S48" s="4">
        <v>2.3254937330881762</v>
      </c>
      <c r="T48" s="4"/>
      <c r="U48" s="4">
        <v>1.513437946637471</v>
      </c>
      <c r="V48" s="4">
        <v>2.0626130104064941</v>
      </c>
      <c r="W48" s="4">
        <v>6.4669087529182406E-2</v>
      </c>
      <c r="X48" s="5">
        <v>127.6044823279999</v>
      </c>
      <c r="Y48" s="5">
        <v>4937.1762576580004</v>
      </c>
      <c r="Z48" s="3">
        <v>0.41377728684454451</v>
      </c>
      <c r="AA48" s="3">
        <v>0.32400000000000001</v>
      </c>
      <c r="AB48" s="3">
        <v>0.51100000000000001</v>
      </c>
      <c r="AC48" s="3">
        <v>1.7589869676156999E-3</v>
      </c>
      <c r="AD48" s="3">
        <v>0.29774495959281921</v>
      </c>
      <c r="AE48" s="3">
        <v>6.1136293224990004E-3</v>
      </c>
      <c r="AF48" s="2">
        <v>1</v>
      </c>
      <c r="AG48" s="3">
        <v>1.6340252012014299E-2</v>
      </c>
      <c r="AH48" s="3">
        <v>-1.5138304233551021</v>
      </c>
      <c r="AI48" s="3">
        <v>0</v>
      </c>
      <c r="AJ48" s="3">
        <v>0</v>
      </c>
      <c r="AK48" s="3">
        <v>0.66987140314956517</v>
      </c>
      <c r="AL48" s="3">
        <v>0.89995515964469552</v>
      </c>
      <c r="AM48" s="3">
        <v>0.14580764386506509</v>
      </c>
      <c r="AN48" s="3">
        <v>0.83804443318665722</v>
      </c>
      <c r="AO48" s="3">
        <v>0.70433911755260326</v>
      </c>
      <c r="AP48" s="3">
        <v>0.86588472742626998</v>
      </c>
      <c r="AQ48" s="3">
        <v>8.9775317349334194E-2</v>
      </c>
      <c r="AR48" s="3">
        <v>0.90698813319352078</v>
      </c>
      <c r="AS48" s="3">
        <v>-4.6283851226628099E-2</v>
      </c>
      <c r="AT48" s="3">
        <v>0.27021910830504098</v>
      </c>
      <c r="AU48" s="3">
        <v>-0.25635497752789882</v>
      </c>
      <c r="AV48" s="3">
        <v>0.4805358197778497</v>
      </c>
      <c r="AW48" s="3">
        <v>0.78194443614395892</v>
      </c>
      <c r="AX48" s="3">
        <v>0.95578697217899644</v>
      </c>
      <c r="AY48" s="3">
        <v>0.17071457197486789</v>
      </c>
      <c r="AZ48" s="3">
        <v>0.88031940660590957</v>
      </c>
      <c r="BA48" s="16">
        <f t="shared" si="2"/>
        <v>0.69719134672593319</v>
      </c>
      <c r="BB48" s="16">
        <f t="shared" si="3"/>
        <v>0.46406516955800631</v>
      </c>
    </row>
    <row r="49" spans="1:54" x14ac:dyDescent="0.25">
      <c r="A49" s="2" t="s">
        <v>64</v>
      </c>
      <c r="B49" s="2" t="s">
        <v>65</v>
      </c>
      <c r="C49" s="3">
        <v>1E-3</v>
      </c>
      <c r="D49" s="3">
        <v>0.1</v>
      </c>
      <c r="E49" s="2" t="s">
        <v>56</v>
      </c>
      <c r="F49" s="3">
        <v>1</v>
      </c>
      <c r="G49" s="2" t="s">
        <v>51</v>
      </c>
      <c r="H49" s="2" t="s">
        <v>69</v>
      </c>
      <c r="I49" s="2">
        <v>227</v>
      </c>
      <c r="J49" s="2">
        <v>3</v>
      </c>
      <c r="K49" s="2">
        <v>236</v>
      </c>
      <c r="L49" s="2">
        <v>156</v>
      </c>
      <c r="M49" s="2">
        <v>0.68700000000000006</v>
      </c>
      <c r="N49" s="2">
        <v>3</v>
      </c>
      <c r="O49" s="2">
        <v>0</v>
      </c>
      <c r="P49" s="2">
        <v>10000</v>
      </c>
      <c r="Q49" s="2">
        <v>7793</v>
      </c>
      <c r="R49" s="4">
        <v>0.93579775094985962</v>
      </c>
      <c r="S49" s="4">
        <v>2.94913649559021</v>
      </c>
      <c r="T49" s="4"/>
      <c r="U49" s="4">
        <v>1.5088115930557251</v>
      </c>
      <c r="V49" s="4">
        <v>2.4445724487304692</v>
      </c>
      <c r="W49" s="4">
        <v>1.8927289173007001E-2</v>
      </c>
      <c r="X49" s="5">
        <v>126.0960914890002</v>
      </c>
      <c r="Y49" s="5">
        <v>3816.262749336001</v>
      </c>
      <c r="Z49" s="3">
        <v>0.41377728684454451</v>
      </c>
      <c r="AA49" s="3">
        <v>0.32400000000000001</v>
      </c>
      <c r="AB49" s="3">
        <v>0.51100000000000001</v>
      </c>
      <c r="AC49" s="3">
        <v>1.5775078209117001E-3</v>
      </c>
      <c r="AD49" s="3">
        <v>0.29888424277305597</v>
      </c>
      <c r="AE49" s="3">
        <v>6.3761440105736004E-3</v>
      </c>
      <c r="AF49" s="2">
        <v>0</v>
      </c>
      <c r="AG49" s="3">
        <v>3.9618257433175999E-2</v>
      </c>
      <c r="AH49" s="3">
        <v>0.52327090501785278</v>
      </c>
      <c r="AI49" s="3">
        <v>0</v>
      </c>
      <c r="AJ49" s="3">
        <v>0</v>
      </c>
      <c r="AK49" s="3">
        <v>2.5957097415220998E-2</v>
      </c>
      <c r="AL49" s="3">
        <v>0.43846775733679549</v>
      </c>
      <c r="AM49" s="3">
        <v>9.7728704901880695E-2</v>
      </c>
      <c r="AN49" s="3">
        <v>0.53942106907447285</v>
      </c>
      <c r="AO49" s="3">
        <v>-5.1336571543190102E-2</v>
      </c>
      <c r="AP49" s="3">
        <v>0.2462479949742705</v>
      </c>
      <c r="AQ49" s="3">
        <v>-6.8850682164894803E-2</v>
      </c>
      <c r="AR49" s="3">
        <v>0.64619129564972666</v>
      </c>
      <c r="AS49" s="3">
        <v>0.34111113658687708</v>
      </c>
      <c r="AT49" s="3">
        <v>0.42564045555715008</v>
      </c>
      <c r="AU49" s="3">
        <v>0.1130714229601294</v>
      </c>
      <c r="AV49" s="3">
        <v>0.70908399437817637</v>
      </c>
      <c r="AW49" s="3">
        <v>0.90736490115212798</v>
      </c>
      <c r="AX49" s="3">
        <v>0.96049851624698901</v>
      </c>
      <c r="AY49" s="3">
        <v>7.3520796464729907E-2</v>
      </c>
      <c r="AZ49" s="3">
        <v>0.94119414619928876</v>
      </c>
      <c r="BA49" s="16">
        <f t="shared" si="2"/>
        <v>0.72064459001578385</v>
      </c>
      <c r="BB49" s="16">
        <f t="shared" si="3"/>
        <v>0.28856113959388457</v>
      </c>
    </row>
    <row r="50" spans="1:54" x14ac:dyDescent="0.25">
      <c r="A50" s="2" t="s">
        <v>64</v>
      </c>
      <c r="B50" s="2" t="s">
        <v>65</v>
      </c>
      <c r="C50" s="3">
        <v>1E-3</v>
      </c>
      <c r="D50" s="3">
        <v>0.3</v>
      </c>
      <c r="E50" s="2" t="s">
        <v>48</v>
      </c>
      <c r="F50" s="3">
        <v>1</v>
      </c>
      <c r="G50" s="2" t="s">
        <v>49</v>
      </c>
      <c r="H50" s="2" t="s">
        <v>66</v>
      </c>
      <c r="I50" s="2">
        <v>43</v>
      </c>
      <c r="J50" s="2">
        <v>3</v>
      </c>
      <c r="K50" s="2">
        <v>52</v>
      </c>
      <c r="L50" s="2">
        <v>156</v>
      </c>
      <c r="M50" s="2">
        <v>3.6280000000000001</v>
      </c>
      <c r="N50" s="2">
        <v>2</v>
      </c>
      <c r="O50" s="2">
        <v>0</v>
      </c>
      <c r="P50" s="2">
        <v>10000</v>
      </c>
      <c r="Q50" s="2">
        <v>1504</v>
      </c>
      <c r="R50" s="4">
        <v>1.898465514183044</v>
      </c>
      <c r="S50" s="4">
        <v>2.9057315985361729</v>
      </c>
      <c r="T50" s="4"/>
      <c r="U50" s="4">
        <v>2.437999526659647</v>
      </c>
      <c r="V50" s="4">
        <v>8.3805685043334961</v>
      </c>
      <c r="W50" s="4">
        <v>0.42244899272918701</v>
      </c>
      <c r="X50" s="5">
        <v>89.107250321999345</v>
      </c>
      <c r="Y50" s="5">
        <v>240.08282863299971</v>
      </c>
      <c r="Z50" s="3">
        <v>0.41377728684454451</v>
      </c>
      <c r="AA50" s="3">
        <v>0.32400000000000001</v>
      </c>
      <c r="AB50" s="3">
        <v>0.51100000000000001</v>
      </c>
      <c r="AC50" s="3">
        <v>1.0883269133046001E-3</v>
      </c>
      <c r="AD50" s="3">
        <v>2.3214766755700101E-2</v>
      </c>
      <c r="AE50" s="3">
        <v>1.9370803609490301E-2</v>
      </c>
      <c r="AF50" s="2">
        <v>1</v>
      </c>
      <c r="AG50" s="3">
        <v>0.40000000596046448</v>
      </c>
      <c r="AH50" s="3">
        <v>-4.3893032073974609</v>
      </c>
      <c r="AI50" s="3">
        <v>0</v>
      </c>
      <c r="AJ50" s="3">
        <v>0</v>
      </c>
      <c r="AK50" s="3">
        <v>0.1904599783562187</v>
      </c>
      <c r="AL50" s="3">
        <v>0.57410917410316198</v>
      </c>
      <c r="AM50" s="3">
        <v>3.5324522656422198E-2</v>
      </c>
      <c r="AN50" s="3">
        <v>0.73765005171831377</v>
      </c>
      <c r="AO50" s="3">
        <v>-0.43774003304551368</v>
      </c>
      <c r="AP50" s="3">
        <v>0.48626823443880468</v>
      </c>
      <c r="AQ50" s="3">
        <v>-0.3650984117833091</v>
      </c>
      <c r="AR50" s="3">
        <v>0.68585832742076591</v>
      </c>
      <c r="AS50" s="3">
        <v>0.20242593486870339</v>
      </c>
      <c r="AT50" s="3">
        <v>0.58938737932900742</v>
      </c>
      <c r="AU50" s="3">
        <v>0.10834427168128551</v>
      </c>
      <c r="AV50" s="3">
        <v>0.83181841028419279</v>
      </c>
      <c r="AW50" s="3">
        <v>0.27824745763471198</v>
      </c>
      <c r="AX50" s="3">
        <v>0.15438437500485869</v>
      </c>
      <c r="AY50" s="3">
        <v>0.2026860636834098</v>
      </c>
      <c r="AZ50" s="3">
        <v>0.77620435491647322</v>
      </c>
      <c r="BA50" s="16">
        <f t="shared" si="2"/>
        <v>0.35288056280986341</v>
      </c>
      <c r="BB50" s="16">
        <f t="shared" si="3"/>
        <v>0.30323398666900453</v>
      </c>
    </row>
    <row r="51" spans="1:54" x14ac:dyDescent="0.25">
      <c r="A51" s="2" t="s">
        <v>64</v>
      </c>
      <c r="B51" s="2" t="s">
        <v>65</v>
      </c>
      <c r="C51" s="3">
        <v>1E-3</v>
      </c>
      <c r="D51" s="3">
        <v>0.3</v>
      </c>
      <c r="E51" s="2" t="s">
        <v>48</v>
      </c>
      <c r="F51" s="3">
        <v>1</v>
      </c>
      <c r="G51" s="2" t="s">
        <v>49</v>
      </c>
      <c r="H51" s="2" t="s">
        <v>66</v>
      </c>
      <c r="I51" s="2">
        <v>43</v>
      </c>
      <c r="J51" s="2">
        <v>3</v>
      </c>
      <c r="K51" s="2">
        <v>52</v>
      </c>
      <c r="L51" s="2">
        <v>156</v>
      </c>
      <c r="M51" s="2">
        <v>3.6280000000000001</v>
      </c>
      <c r="N51" s="2">
        <v>3</v>
      </c>
      <c r="O51" s="2">
        <v>0</v>
      </c>
      <c r="P51" s="2">
        <v>10000</v>
      </c>
      <c r="Q51" s="2">
        <v>613</v>
      </c>
      <c r="R51" s="4">
        <v>0.90189504623413075</v>
      </c>
      <c r="S51" s="4">
        <v>2.879063725471497</v>
      </c>
      <c r="T51" s="4"/>
      <c r="U51" s="4">
        <v>3.245876868565877</v>
      </c>
      <c r="V51" s="4">
        <v>4.1647124290466309</v>
      </c>
      <c r="W51" s="4">
        <v>0.40936851501464838</v>
      </c>
      <c r="X51" s="5">
        <v>92.586065641999994</v>
      </c>
      <c r="Y51" s="5">
        <v>372.96977424699799</v>
      </c>
      <c r="Z51" s="3">
        <v>0.41377728684454451</v>
      </c>
      <c r="AA51" s="3">
        <v>0.32400000000000001</v>
      </c>
      <c r="AB51" s="3">
        <v>0.51100000000000001</v>
      </c>
      <c r="AC51" s="3">
        <v>1.1203605681657E-3</v>
      </c>
      <c r="AD51" s="3">
        <v>0.4104312658309936</v>
      </c>
      <c r="AE51" s="3">
        <v>9.8227970302103996E-3</v>
      </c>
      <c r="AF51" s="2">
        <v>1</v>
      </c>
      <c r="AG51" s="3">
        <v>0.40000000596046448</v>
      </c>
      <c r="AH51" s="3">
        <v>-15.967330932617189</v>
      </c>
      <c r="AI51" s="3">
        <v>-0.73917359113693237</v>
      </c>
      <c r="AJ51" s="3">
        <v>0</v>
      </c>
      <c r="AK51" s="3">
        <v>-0.81435918983313016</v>
      </c>
      <c r="AL51" s="3">
        <v>0.54465373015865348</v>
      </c>
      <c r="AM51" s="3">
        <v>2.5446473320836702E-2</v>
      </c>
      <c r="AN51" s="3">
        <v>0.36882877743556619</v>
      </c>
      <c r="AO51" s="3">
        <v>-1.120929180080668</v>
      </c>
      <c r="AP51" s="3">
        <v>0.46333995313597248</v>
      </c>
      <c r="AQ51" s="3">
        <v>-4.2104177685575901E-2</v>
      </c>
      <c r="AR51" s="3">
        <v>0.36047570857300892</v>
      </c>
      <c r="AS51" s="3">
        <v>-1.53159811697805E-2</v>
      </c>
      <c r="AT51" s="3">
        <v>0.70050303935550795</v>
      </c>
      <c r="AU51" s="3">
        <v>0.3927910617712691</v>
      </c>
      <c r="AV51" s="3">
        <v>0.80473787373262806</v>
      </c>
      <c r="AW51" s="3">
        <v>0.54237111922299353</v>
      </c>
      <c r="AX51" s="3">
        <v>0.69634851903337103</v>
      </c>
      <c r="AY51" s="3">
        <v>0.61691754458356352</v>
      </c>
      <c r="AZ51" s="3">
        <v>0.78636085543032563</v>
      </c>
      <c r="BA51" s="16">
        <f t="shared" si="2"/>
        <v>0.66049950956756343</v>
      </c>
      <c r="BB51" s="16">
        <f t="shared" si="3"/>
        <v>0.13900567405952402</v>
      </c>
    </row>
    <row r="52" spans="1:54" x14ac:dyDescent="0.25">
      <c r="A52" s="2" t="s">
        <v>64</v>
      </c>
      <c r="B52" s="2" t="s">
        <v>65</v>
      </c>
      <c r="C52" s="3">
        <v>1E-3</v>
      </c>
      <c r="D52" s="3">
        <v>0.3</v>
      </c>
      <c r="E52" s="2" t="s">
        <v>48</v>
      </c>
      <c r="F52" s="3">
        <v>1</v>
      </c>
      <c r="G52" s="2" t="s">
        <v>51</v>
      </c>
      <c r="H52" s="2" t="s">
        <v>66</v>
      </c>
      <c r="I52" s="2">
        <v>43</v>
      </c>
      <c r="J52" s="2">
        <v>3</v>
      </c>
      <c r="K52" s="2">
        <v>52</v>
      </c>
      <c r="L52" s="2">
        <v>156</v>
      </c>
      <c r="M52" s="2">
        <v>3.6280000000000001</v>
      </c>
      <c r="N52" s="2">
        <v>2</v>
      </c>
      <c r="O52" s="2">
        <v>0</v>
      </c>
      <c r="P52" s="2">
        <v>10000</v>
      </c>
      <c r="Q52" s="2">
        <v>8734</v>
      </c>
      <c r="R52" s="4">
        <v>6.938230037689209</v>
      </c>
      <c r="S52" s="4">
        <v>6.0986332893371582</v>
      </c>
      <c r="T52" s="4"/>
      <c r="U52" s="4">
        <v>5.7817500432332354</v>
      </c>
      <c r="V52" s="4">
        <v>7.1666040420532227</v>
      </c>
      <c r="W52" s="4">
        <v>0.59924161434173584</v>
      </c>
      <c r="X52" s="5">
        <v>88.257628778000253</v>
      </c>
      <c r="Y52" s="5">
        <v>157.70941361500081</v>
      </c>
      <c r="Z52" s="3">
        <v>0.41377728684454451</v>
      </c>
      <c r="AA52" s="3">
        <v>0.32400000000000001</v>
      </c>
      <c r="AB52" s="3">
        <v>0.51100000000000001</v>
      </c>
      <c r="AC52" s="3">
        <v>1.219073543325E-3</v>
      </c>
      <c r="AD52" s="3">
        <v>0.35323920845985413</v>
      </c>
      <c r="AE52" s="3">
        <v>7.3603470809756998E-3</v>
      </c>
      <c r="AF52" s="2">
        <v>0</v>
      </c>
      <c r="AG52" s="3">
        <v>9.0492933988571098E-2</v>
      </c>
      <c r="AH52" s="3">
        <v>9.8970174789428729</v>
      </c>
      <c r="AI52" s="3">
        <v>0</v>
      </c>
      <c r="AJ52" s="3">
        <v>0</v>
      </c>
      <c r="AK52" s="3">
        <v>-3.242138963652847</v>
      </c>
      <c r="AL52" s="3">
        <v>-5.5294566204129897E-2</v>
      </c>
      <c r="AM52" s="3">
        <v>-8.4715022701656206E-2</v>
      </c>
      <c r="AN52" s="3">
        <v>-1.6934797478651591</v>
      </c>
      <c r="AO52" s="3">
        <v>-3.433050285197115</v>
      </c>
      <c r="AP52" s="3">
        <v>-3.4313372748393897E-2</v>
      </c>
      <c r="AQ52" s="3">
        <v>-0.21657613299227171</v>
      </c>
      <c r="AR52" s="3">
        <v>-1.7854910382434159</v>
      </c>
      <c r="AS52" s="3">
        <v>-3.234800204703705</v>
      </c>
      <c r="AT52" s="3">
        <v>-0.1181232415831214</v>
      </c>
      <c r="AU52" s="3">
        <v>-1.566967907842E-3</v>
      </c>
      <c r="AV52" s="3">
        <v>-1.6402801539338181</v>
      </c>
      <c r="AW52" s="3">
        <v>-3.1036578566843098</v>
      </c>
      <c r="AX52" s="3">
        <v>-2.3572982617072631</v>
      </c>
      <c r="AY52" s="3">
        <v>5.4502154001089001E-2</v>
      </c>
      <c r="AZ52" s="3">
        <v>-1.8006247243668341</v>
      </c>
      <c r="BA52" s="16">
        <f t="shared" si="2"/>
        <v>-1.8017696721893297</v>
      </c>
      <c r="BB52" s="16">
        <f t="shared" si="3"/>
        <v>-1.2949858081444561</v>
      </c>
    </row>
    <row r="53" spans="1:54" x14ac:dyDescent="0.25">
      <c r="A53" s="2" t="s">
        <v>64</v>
      </c>
      <c r="B53" s="2" t="s">
        <v>65</v>
      </c>
      <c r="C53" s="3">
        <v>1E-3</v>
      </c>
      <c r="D53" s="3">
        <v>0.3</v>
      </c>
      <c r="E53" s="2" t="s">
        <v>48</v>
      </c>
      <c r="F53" s="3">
        <v>1</v>
      </c>
      <c r="G53" s="2" t="s">
        <v>51</v>
      </c>
      <c r="H53" s="2" t="s">
        <v>66</v>
      </c>
      <c r="I53" s="2">
        <v>43</v>
      </c>
      <c r="J53" s="2">
        <v>3</v>
      </c>
      <c r="K53" s="2">
        <v>52</v>
      </c>
      <c r="L53" s="2">
        <v>156</v>
      </c>
      <c r="M53" s="2">
        <v>3.6280000000000001</v>
      </c>
      <c r="N53" s="2">
        <v>3</v>
      </c>
      <c r="O53" s="2">
        <v>0</v>
      </c>
      <c r="P53" s="2">
        <v>10000</v>
      </c>
      <c r="Q53" s="2">
        <v>97</v>
      </c>
      <c r="R53" s="4">
        <v>7.4548072814941406</v>
      </c>
      <c r="S53" s="4">
        <v>10.48689079284668</v>
      </c>
      <c r="T53" s="4"/>
      <c r="U53" s="4">
        <v>9.6094725926717128</v>
      </c>
      <c r="V53" s="4">
        <v>7.7533049583435059</v>
      </c>
      <c r="W53" s="4">
        <v>8.1643443554639001E-3</v>
      </c>
      <c r="X53" s="5">
        <v>86.999783142000524</v>
      </c>
      <c r="Y53" s="5">
        <v>240.56256439299969</v>
      </c>
      <c r="Z53" s="3">
        <v>0.41377728684454451</v>
      </c>
      <c r="AA53" s="3">
        <v>0.32400000000000001</v>
      </c>
      <c r="AB53" s="3">
        <v>0.51100000000000001</v>
      </c>
      <c r="AC53" s="3">
        <v>1.1459627421572E-3</v>
      </c>
      <c r="AD53" s="3">
        <v>0.34476101398468018</v>
      </c>
      <c r="AE53" s="3">
        <v>7.0456988178192997E-3</v>
      </c>
      <c r="AF53" s="2">
        <v>0</v>
      </c>
      <c r="AG53" s="3">
        <v>7.9221151769161197E-2</v>
      </c>
      <c r="AH53" s="3">
        <v>22.9216423034668</v>
      </c>
      <c r="AI53" s="3">
        <v>0</v>
      </c>
      <c r="AJ53" s="3">
        <v>0</v>
      </c>
      <c r="AK53" s="3">
        <v>-3.1609110325331291</v>
      </c>
      <c r="AL53" s="3">
        <v>-1.5089093764057919</v>
      </c>
      <c r="AM53" s="3">
        <v>-1.338093653838405</v>
      </c>
      <c r="AN53" s="3">
        <v>-1.65884158220164</v>
      </c>
      <c r="AO53" s="3">
        <v>-3.444312752196077</v>
      </c>
      <c r="AP53" s="3">
        <v>-2.7802744818926608</v>
      </c>
      <c r="AQ53" s="3">
        <v>-0.59928067466111656</v>
      </c>
      <c r="AR53" s="3">
        <v>-1.7928506622465969</v>
      </c>
      <c r="AS53" s="3">
        <v>-3.2538914837738409</v>
      </c>
      <c r="AT53" s="3">
        <v>-2.9391004466163322</v>
      </c>
      <c r="AU53" s="3">
        <v>-0.46188528509873689</v>
      </c>
      <c r="AV53" s="3">
        <v>-1.6512003755327589</v>
      </c>
      <c r="AW53" s="3">
        <v>-3.1030780963556039</v>
      </c>
      <c r="AX53" s="3">
        <v>-2.4740361245182161</v>
      </c>
      <c r="AY53" s="3">
        <v>-0.38854032166837671</v>
      </c>
      <c r="AZ53" s="3">
        <v>-1.8032823231689179</v>
      </c>
      <c r="BA53" s="16">
        <f t="shared" si="2"/>
        <v>-1.9422342164277786</v>
      </c>
      <c r="BB53" s="16">
        <f t="shared" si="3"/>
        <v>-2.0491293172497573</v>
      </c>
    </row>
    <row r="54" spans="1:54" x14ac:dyDescent="0.25">
      <c r="A54" s="2" t="s">
        <v>64</v>
      </c>
      <c r="B54" s="2" t="s">
        <v>65</v>
      </c>
      <c r="C54" s="3">
        <v>1E-3</v>
      </c>
      <c r="D54" s="3">
        <v>0.3</v>
      </c>
      <c r="E54" s="2" t="s">
        <v>52</v>
      </c>
      <c r="F54" s="3">
        <v>1</v>
      </c>
      <c r="G54" s="2" t="s">
        <v>49</v>
      </c>
      <c r="H54" s="2" t="s">
        <v>67</v>
      </c>
      <c r="I54" s="2">
        <v>73</v>
      </c>
      <c r="J54" s="2">
        <v>3</v>
      </c>
      <c r="K54" s="2">
        <v>82</v>
      </c>
      <c r="L54" s="2">
        <v>156</v>
      </c>
      <c r="M54" s="2">
        <v>2.137</v>
      </c>
      <c r="N54" s="2">
        <v>2</v>
      </c>
      <c r="O54" s="2">
        <v>0</v>
      </c>
      <c r="P54" s="2">
        <v>10000</v>
      </c>
      <c r="Q54" s="2">
        <v>7185</v>
      </c>
      <c r="R54" s="4">
        <v>1.1705499887466431</v>
      </c>
      <c r="S54" s="4">
        <v>2.932895104090373</v>
      </c>
      <c r="T54" s="4"/>
      <c r="U54" s="4">
        <v>2.4232063293457031</v>
      </c>
      <c r="V54" s="4">
        <v>3.034980297088623</v>
      </c>
      <c r="W54" s="4">
        <v>0.272379070520401</v>
      </c>
      <c r="X54" s="5">
        <v>96.532124393999766</v>
      </c>
      <c r="Y54" s="5">
        <v>316.38122172700241</v>
      </c>
      <c r="Z54" s="3">
        <v>0.41377728684454451</v>
      </c>
      <c r="AA54" s="3">
        <v>0.32400000000000001</v>
      </c>
      <c r="AB54" s="3">
        <v>0.51100000000000001</v>
      </c>
      <c r="AC54" s="3">
        <v>1.3705135788768001E-3</v>
      </c>
      <c r="AD54" s="3">
        <v>0.33506295084953308</v>
      </c>
      <c r="AE54" s="3">
        <v>9.0216509997844002E-3</v>
      </c>
      <c r="AF54" s="2">
        <v>1</v>
      </c>
      <c r="AG54" s="3">
        <v>0.40000000596046448</v>
      </c>
      <c r="AH54" s="3">
        <v>-3.4594466686248779</v>
      </c>
      <c r="AI54" s="3">
        <v>0</v>
      </c>
      <c r="AJ54" s="3">
        <v>0</v>
      </c>
      <c r="AK54" s="3">
        <v>0.81550973988230413</v>
      </c>
      <c r="AL54" s="3">
        <v>0.67581806837492076</v>
      </c>
      <c r="AM54" s="3">
        <v>-0.35531195669962279</v>
      </c>
      <c r="AN54" s="3">
        <v>0.90745559861272518</v>
      </c>
      <c r="AO54" s="3">
        <v>0.34775140122076831</v>
      </c>
      <c r="AP54" s="3">
        <v>0.61249538913798185</v>
      </c>
      <c r="AQ54" s="3">
        <v>-0.47497146011319308</v>
      </c>
      <c r="AR54" s="3">
        <v>0.8732141547525174</v>
      </c>
      <c r="AS54" s="3">
        <v>0.73163195746560872</v>
      </c>
      <c r="AT54" s="3">
        <v>0.67877827683495151</v>
      </c>
      <c r="AU54" s="3">
        <v>-0.2604185279157149</v>
      </c>
      <c r="AV54" s="3">
        <v>0.89684379316813556</v>
      </c>
      <c r="AW54" s="3">
        <v>0.85270869748434563</v>
      </c>
      <c r="AX54" s="3">
        <v>0.73207650834737015</v>
      </c>
      <c r="AY54" s="3">
        <v>0.1440948007944638</v>
      </c>
      <c r="AZ54" s="3">
        <v>0.83637207893127274</v>
      </c>
      <c r="BA54" s="16">
        <f t="shared" si="2"/>
        <v>0.64131302138936308</v>
      </c>
      <c r="BB54" s="16">
        <f t="shared" si="3"/>
        <v>0.4540663695601152</v>
      </c>
    </row>
    <row r="55" spans="1:54" x14ac:dyDescent="0.25">
      <c r="A55" s="2" t="s">
        <v>64</v>
      </c>
      <c r="B55" s="2" t="s">
        <v>65</v>
      </c>
      <c r="C55" s="3">
        <v>1E-3</v>
      </c>
      <c r="D55" s="3">
        <v>0.3</v>
      </c>
      <c r="E55" s="2" t="s">
        <v>52</v>
      </c>
      <c r="F55" s="3">
        <v>1</v>
      </c>
      <c r="G55" s="2" t="s">
        <v>49</v>
      </c>
      <c r="H55" s="2" t="s">
        <v>67</v>
      </c>
      <c r="I55" s="2">
        <v>73</v>
      </c>
      <c r="J55" s="2">
        <v>3</v>
      </c>
      <c r="K55" s="2">
        <v>82</v>
      </c>
      <c r="L55" s="2">
        <v>156</v>
      </c>
      <c r="M55" s="2">
        <v>2.137</v>
      </c>
      <c r="N55" s="2">
        <v>3</v>
      </c>
      <c r="O55" s="2">
        <v>0</v>
      </c>
      <c r="P55" s="2">
        <v>10000</v>
      </c>
      <c r="Q55" s="2">
        <v>2207</v>
      </c>
      <c r="R55" s="4">
        <v>3.2789771556854248</v>
      </c>
      <c r="S55" s="4">
        <v>3.6511824131011958</v>
      </c>
      <c r="T55" s="4"/>
      <c r="U55" s="4">
        <v>6.9819329579671221</v>
      </c>
      <c r="V55" s="4">
        <v>8.5926895141601563</v>
      </c>
      <c r="W55" s="4">
        <v>0.47212755680084229</v>
      </c>
      <c r="X55" s="5">
        <v>96.343851288999758</v>
      </c>
      <c r="Y55" s="5">
        <v>342.00220124400221</v>
      </c>
      <c r="Z55" s="3">
        <v>0.41377728684454451</v>
      </c>
      <c r="AA55" s="3">
        <v>0.32400000000000001</v>
      </c>
      <c r="AB55" s="3">
        <v>0.51100000000000001</v>
      </c>
      <c r="AC55" s="3">
        <v>1.4406284317374E-3</v>
      </c>
      <c r="AD55" s="3">
        <v>0.58092474937438965</v>
      </c>
      <c r="AE55" s="3">
        <v>1.02145401760935E-2</v>
      </c>
      <c r="AF55" s="2">
        <v>1</v>
      </c>
      <c r="AG55" s="3">
        <v>0.40000000596046448</v>
      </c>
      <c r="AH55" s="3">
        <v>-0.77813428640365601</v>
      </c>
      <c r="AI55" s="3">
        <v>0</v>
      </c>
      <c r="AJ55" s="3">
        <v>0</v>
      </c>
      <c r="AK55" s="3">
        <v>0.1972319046745408</v>
      </c>
      <c r="AL55" s="3">
        <v>0.61683525858278399</v>
      </c>
      <c r="AM55" s="3">
        <v>-0.58110384038519092</v>
      </c>
      <c r="AN55" s="3">
        <v>0.87585332617834277</v>
      </c>
      <c r="AO55" s="3">
        <v>-0.64495919065641005</v>
      </c>
      <c r="AP55" s="3">
        <v>0.45037813025217188</v>
      </c>
      <c r="AQ55" s="3">
        <v>-0.47497146011319308</v>
      </c>
      <c r="AR55" s="3">
        <v>0.74945781417914437</v>
      </c>
      <c r="AS55" s="3">
        <v>0.215606821673058</v>
      </c>
      <c r="AT55" s="3">
        <v>0.64734582204285718</v>
      </c>
      <c r="AU55" s="3">
        <v>-0.87145108871476706</v>
      </c>
      <c r="AV55" s="3">
        <v>0.94344361796506881</v>
      </c>
      <c r="AW55" s="3">
        <v>0.33342429608456009</v>
      </c>
      <c r="AX55" s="3">
        <v>0.1130708235812392</v>
      </c>
      <c r="AY55" s="3">
        <v>-1.1073897722428609</v>
      </c>
      <c r="AZ55" s="3">
        <v>0.45077710121754538</v>
      </c>
      <c r="BA55" s="16">
        <f t="shared" si="2"/>
        <v>-5.2529387839879052E-2</v>
      </c>
      <c r="BB55" s="16">
        <f t="shared" si="3"/>
        <v>0.17697225963986718</v>
      </c>
    </row>
    <row r="56" spans="1:54" x14ac:dyDescent="0.25">
      <c r="A56" s="2" t="s">
        <v>64</v>
      </c>
      <c r="B56" s="2" t="s">
        <v>65</v>
      </c>
      <c r="C56" s="3">
        <v>1E-3</v>
      </c>
      <c r="D56" s="3">
        <v>0.3</v>
      </c>
      <c r="E56" s="2" t="s">
        <v>52</v>
      </c>
      <c r="F56" s="3">
        <v>1</v>
      </c>
      <c r="G56" s="2" t="s">
        <v>51</v>
      </c>
      <c r="H56" s="2" t="s">
        <v>67</v>
      </c>
      <c r="I56" s="2">
        <v>73</v>
      </c>
      <c r="J56" s="2">
        <v>3</v>
      </c>
      <c r="K56" s="2">
        <v>82</v>
      </c>
      <c r="L56" s="2">
        <v>156</v>
      </c>
      <c r="M56" s="2">
        <v>2.137</v>
      </c>
      <c r="N56" s="2">
        <v>2</v>
      </c>
      <c r="O56" s="2">
        <v>0</v>
      </c>
      <c r="P56" s="2">
        <v>10000</v>
      </c>
      <c r="Q56" s="2">
        <v>9356</v>
      </c>
      <c r="R56" s="4">
        <v>0.97927057743072521</v>
      </c>
      <c r="S56" s="4">
        <v>1.7830770810445149</v>
      </c>
      <c r="T56" s="4"/>
      <c r="U56" s="4">
        <v>1.7163076003392539</v>
      </c>
      <c r="V56" s="4">
        <v>1.3801188468933101</v>
      </c>
      <c r="W56" s="4">
        <v>1.8125092610716799E-2</v>
      </c>
      <c r="X56" s="5">
        <v>107.15670512200001</v>
      </c>
      <c r="Y56" s="5">
        <v>1260.854333922998</v>
      </c>
      <c r="Z56" s="3">
        <v>0.41377728684454451</v>
      </c>
      <c r="AA56" s="3">
        <v>0.32400000000000001</v>
      </c>
      <c r="AB56" s="3">
        <v>0.51100000000000001</v>
      </c>
      <c r="AC56" s="3">
        <v>1.6120217042043001E-3</v>
      </c>
      <c r="AD56" s="3">
        <v>0.271312266588211</v>
      </c>
      <c r="AE56" s="3">
        <v>7.1919723413883998E-3</v>
      </c>
      <c r="AF56" s="2">
        <v>1</v>
      </c>
      <c r="AG56" s="3">
        <v>0.21774055063724509</v>
      </c>
      <c r="AH56" s="3">
        <v>-0.78406751155853271</v>
      </c>
      <c r="AI56" s="3">
        <v>0</v>
      </c>
      <c r="AJ56" s="3">
        <v>0</v>
      </c>
      <c r="AK56" s="3">
        <v>0.83081352024379429</v>
      </c>
      <c r="AL56" s="3">
        <v>0.85956021745493738</v>
      </c>
      <c r="AM56" s="3">
        <v>0.12629453194341439</v>
      </c>
      <c r="AN56" s="3">
        <v>0.87681721049301009</v>
      </c>
      <c r="AO56" s="3">
        <v>0.71198278383418701</v>
      </c>
      <c r="AP56" s="3">
        <v>0.87707816419694795</v>
      </c>
      <c r="AQ56" s="3">
        <v>9.5520699657710595E-2</v>
      </c>
      <c r="AR56" s="3">
        <v>0.91705911756366076</v>
      </c>
      <c r="AS56" s="3">
        <v>0.81168032270109236</v>
      </c>
      <c r="AT56" s="3">
        <v>0.80596644691136932</v>
      </c>
      <c r="AU56" s="3">
        <v>0.15722480548392109</v>
      </c>
      <c r="AV56" s="3">
        <v>0.87797099636434117</v>
      </c>
      <c r="AW56" s="3">
        <v>0.81391646085016156</v>
      </c>
      <c r="AX56" s="3">
        <v>0.8159179831671024</v>
      </c>
      <c r="AY56" s="3">
        <v>0.21536364905940689</v>
      </c>
      <c r="AZ56" s="3">
        <v>0.94156002687936602</v>
      </c>
      <c r="BA56" s="16">
        <f t="shared" si="2"/>
        <v>0.69668952998900924</v>
      </c>
      <c r="BB56" s="16">
        <f t="shared" si="3"/>
        <v>0.66233073473736548</v>
      </c>
    </row>
    <row r="57" spans="1:54" x14ac:dyDescent="0.25">
      <c r="A57" s="2" t="s">
        <v>64</v>
      </c>
      <c r="B57" s="2" t="s">
        <v>65</v>
      </c>
      <c r="C57" s="3">
        <v>1E-3</v>
      </c>
      <c r="D57" s="3">
        <v>0.3</v>
      </c>
      <c r="E57" s="2" t="s">
        <v>52</v>
      </c>
      <c r="F57" s="3">
        <v>1</v>
      </c>
      <c r="G57" s="2" t="s">
        <v>51</v>
      </c>
      <c r="H57" s="2" t="s">
        <v>67</v>
      </c>
      <c r="I57" s="2">
        <v>73</v>
      </c>
      <c r="J57" s="2">
        <v>3</v>
      </c>
      <c r="K57" s="2">
        <v>82</v>
      </c>
      <c r="L57" s="2">
        <v>156</v>
      </c>
      <c r="M57" s="2">
        <v>2.137</v>
      </c>
      <c r="N57" s="2">
        <v>3</v>
      </c>
      <c r="O57" s="2">
        <v>0</v>
      </c>
      <c r="P57" s="2">
        <v>10000</v>
      </c>
      <c r="Q57" s="2">
        <v>4389</v>
      </c>
      <c r="R57" s="4">
        <v>0.9680197834968568</v>
      </c>
      <c r="S57" s="4">
        <v>1.778042078018188</v>
      </c>
      <c r="T57" s="4"/>
      <c r="U57" s="4">
        <v>1.7953983147939041</v>
      </c>
      <c r="V57" s="4">
        <v>1.6076922416687009</v>
      </c>
      <c r="W57" s="4">
        <v>3.8366720080375602E-2</v>
      </c>
      <c r="X57" s="5">
        <v>105.5223410839999</v>
      </c>
      <c r="Y57" s="5">
        <v>869.75141644800169</v>
      </c>
      <c r="Z57" s="3">
        <v>0.41377728684454451</v>
      </c>
      <c r="AA57" s="3">
        <v>0.32400000000000001</v>
      </c>
      <c r="AB57" s="3">
        <v>0.51100000000000001</v>
      </c>
      <c r="AC57" s="3">
        <v>2.4901633150875E-3</v>
      </c>
      <c r="AD57" s="3">
        <v>0.23321159183979029</v>
      </c>
      <c r="AE57" s="3">
        <v>8.1475647166370999E-3</v>
      </c>
      <c r="AF57" s="2">
        <v>1</v>
      </c>
      <c r="AG57" s="3">
        <v>0.36930212378501892</v>
      </c>
      <c r="AH57" s="3">
        <v>-1.6267609596252439</v>
      </c>
      <c r="AI57" s="3">
        <v>0</v>
      </c>
      <c r="AJ57" s="3">
        <v>0</v>
      </c>
      <c r="AK57" s="3">
        <v>0.91387950247305838</v>
      </c>
      <c r="AL57" s="3">
        <v>0.8418283567279079</v>
      </c>
      <c r="AM57" s="3">
        <v>0.1170052617121014</v>
      </c>
      <c r="AN57" s="3">
        <v>0.93025217299849439</v>
      </c>
      <c r="AO57" s="3">
        <v>0.64286518445485297</v>
      </c>
      <c r="AP57" s="3">
        <v>0.89174812090228417</v>
      </c>
      <c r="AQ57" s="3">
        <v>8.7239120072494306E-2</v>
      </c>
      <c r="AR57" s="3">
        <v>0.87946280292991108</v>
      </c>
      <c r="AS57" s="3">
        <v>0.77821924846070201</v>
      </c>
      <c r="AT57" s="3">
        <v>0.84595812365378642</v>
      </c>
      <c r="AU57" s="3">
        <v>0.12256356981384919</v>
      </c>
      <c r="AV57" s="3">
        <v>0.92840467131593063</v>
      </c>
      <c r="AW57" s="3">
        <v>0.76497727098300605</v>
      </c>
      <c r="AX57" s="3">
        <v>0.84139723024678803</v>
      </c>
      <c r="AY57" s="3">
        <v>0.23255953957398609</v>
      </c>
      <c r="AZ57" s="3">
        <v>0.91489277537379277</v>
      </c>
      <c r="BA57" s="16">
        <f t="shared" si="2"/>
        <v>0.68845670404439319</v>
      </c>
      <c r="BB57" s="16">
        <f t="shared" si="3"/>
        <v>0.66495217795961437</v>
      </c>
    </row>
    <row r="58" spans="1:54" x14ac:dyDescent="0.25">
      <c r="A58" s="2" t="s">
        <v>64</v>
      </c>
      <c r="B58" s="2" t="s">
        <v>65</v>
      </c>
      <c r="C58" s="3">
        <v>1E-3</v>
      </c>
      <c r="D58" s="3">
        <v>0.3</v>
      </c>
      <c r="E58" s="2" t="s">
        <v>54</v>
      </c>
      <c r="F58" s="3">
        <v>1</v>
      </c>
      <c r="G58" s="2" t="s">
        <v>49</v>
      </c>
      <c r="H58" s="2" t="s">
        <v>68</v>
      </c>
      <c r="I58" s="2">
        <v>171</v>
      </c>
      <c r="J58" s="2">
        <v>3</v>
      </c>
      <c r="K58" s="2">
        <v>180</v>
      </c>
      <c r="L58" s="2">
        <v>156</v>
      </c>
      <c r="M58" s="2">
        <v>0.91200000000000003</v>
      </c>
      <c r="N58" s="2">
        <v>2</v>
      </c>
      <c r="O58" s="2">
        <v>0</v>
      </c>
      <c r="P58" s="2">
        <v>10000</v>
      </c>
      <c r="Q58" s="2">
        <v>9915</v>
      </c>
      <c r="R58" s="4">
        <v>3.658218622207642</v>
      </c>
      <c r="S58" s="4">
        <v>4.2512022654215498</v>
      </c>
      <c r="T58" s="4"/>
      <c r="U58" s="4">
        <v>3.6034219264984131</v>
      </c>
      <c r="V58" s="4">
        <v>4.1015920639038086</v>
      </c>
      <c r="W58" s="4">
        <v>0.32651212811470032</v>
      </c>
      <c r="X58" s="5">
        <v>99.66565713</v>
      </c>
      <c r="Y58" s="5">
        <v>292.32857323300408</v>
      </c>
      <c r="Z58" s="3">
        <v>0.41377728684454451</v>
      </c>
      <c r="AA58" s="3">
        <v>0.32400000000000001</v>
      </c>
      <c r="AB58" s="3">
        <v>0.51100000000000001</v>
      </c>
      <c r="AC58" s="3">
        <v>4.0509446989740001E-4</v>
      </c>
      <c r="AD58" s="3">
        <v>0.24550840258598319</v>
      </c>
      <c r="AE58" s="3">
        <v>4.22246344387531E-2</v>
      </c>
      <c r="AF58" s="2">
        <v>0</v>
      </c>
      <c r="AG58" s="3">
        <v>0.40000000596046448</v>
      </c>
      <c r="AH58" s="3">
        <v>9.8256483078002912</v>
      </c>
      <c r="AI58" s="3">
        <v>0</v>
      </c>
      <c r="AJ58" s="3">
        <v>0</v>
      </c>
      <c r="AK58" s="3">
        <v>-1.6805766824662209</v>
      </c>
      <c r="AL58" s="3">
        <v>4.7294182549523299E-2</v>
      </c>
      <c r="AM58" s="3">
        <v>-2.4719016420082701E-2</v>
      </c>
      <c r="AN58" s="3">
        <v>0.95238973906177038</v>
      </c>
      <c r="AO58" s="3">
        <v>-2.3201622070987882</v>
      </c>
      <c r="AP58" s="3">
        <v>-5.8181047303631703E-2</v>
      </c>
      <c r="AQ58" s="3">
        <v>-0.47497146011319308</v>
      </c>
      <c r="AR58" s="3">
        <v>0.74555810538084066</v>
      </c>
      <c r="AS58" s="3">
        <v>-1.621333442134129</v>
      </c>
      <c r="AT58" s="3">
        <v>2.1242489128944698E-2</v>
      </c>
      <c r="AU58" s="3">
        <v>3.7316253015847102E-2</v>
      </c>
      <c r="AV58" s="3">
        <v>0.9382334848446916</v>
      </c>
      <c r="AW58" s="3">
        <v>-1.4059678458585989</v>
      </c>
      <c r="AX58" s="3">
        <v>-1.0809732493961841</v>
      </c>
      <c r="AY58" s="3">
        <v>8.7441476228003898E-2</v>
      </c>
      <c r="AZ58" s="3">
        <v>0.93872465102547398</v>
      </c>
      <c r="BA58" s="16">
        <f t="shared" si="2"/>
        <v>-0.36519374200032628</v>
      </c>
      <c r="BB58" s="16">
        <f t="shared" si="3"/>
        <v>-0.28649246679620233</v>
      </c>
    </row>
    <row r="59" spans="1:54" x14ac:dyDescent="0.25">
      <c r="A59" s="2" t="s">
        <v>64</v>
      </c>
      <c r="B59" s="2" t="s">
        <v>65</v>
      </c>
      <c r="C59" s="3">
        <v>1E-3</v>
      </c>
      <c r="D59" s="3">
        <v>0.3</v>
      </c>
      <c r="E59" s="2" t="s">
        <v>54</v>
      </c>
      <c r="F59" s="3">
        <v>1</v>
      </c>
      <c r="G59" s="2" t="s">
        <v>49</v>
      </c>
      <c r="H59" s="2" t="s">
        <v>68</v>
      </c>
      <c r="I59" s="2">
        <v>171</v>
      </c>
      <c r="J59" s="2">
        <v>3</v>
      </c>
      <c r="K59" s="2">
        <v>180</v>
      </c>
      <c r="L59" s="2">
        <v>156</v>
      </c>
      <c r="M59" s="2">
        <v>0.91200000000000003</v>
      </c>
      <c r="N59" s="2">
        <v>3</v>
      </c>
      <c r="O59" s="2">
        <v>0</v>
      </c>
      <c r="P59" s="2">
        <v>10000</v>
      </c>
      <c r="Q59" s="2">
        <v>3731</v>
      </c>
      <c r="R59" s="4">
        <v>1.0416378974914551</v>
      </c>
      <c r="S59" s="4">
        <v>2.2087755600611372</v>
      </c>
      <c r="T59" s="4"/>
      <c r="U59" s="4">
        <v>7.9856206576029463</v>
      </c>
      <c r="V59" s="4">
        <v>8.5925979614257813</v>
      </c>
      <c r="W59" s="4">
        <v>4.0126308798789902E-2</v>
      </c>
      <c r="X59" s="5">
        <v>108.2516463009997</v>
      </c>
      <c r="Y59" s="5">
        <v>766.37577153999882</v>
      </c>
      <c r="Z59" s="3">
        <v>0.41377728684454451</v>
      </c>
      <c r="AA59" s="3">
        <v>0.32400000000000001</v>
      </c>
      <c r="AB59" s="3">
        <v>0.51100000000000001</v>
      </c>
      <c r="AC59" s="3">
        <v>1.355632673949E-3</v>
      </c>
      <c r="AD59" s="3">
        <v>0.27202185988426208</v>
      </c>
      <c r="AE59" s="3">
        <v>6.9501814432441997E-3</v>
      </c>
      <c r="AF59" s="2">
        <v>0</v>
      </c>
      <c r="AG59" s="3">
        <v>0.25242429971694941</v>
      </c>
      <c r="AH59" s="3">
        <v>0.49905598163604731</v>
      </c>
      <c r="AI59" s="3">
        <v>0</v>
      </c>
      <c r="AJ59" s="3">
        <v>0</v>
      </c>
      <c r="AK59" s="3">
        <v>0.63201283702695155</v>
      </c>
      <c r="AL59" s="3">
        <v>0.68907896333902452</v>
      </c>
      <c r="AM59" s="3">
        <v>1.5814147246301001E-2</v>
      </c>
      <c r="AN59" s="3">
        <v>0.85610506667080577</v>
      </c>
      <c r="AO59" s="3">
        <v>0.56966167806878309</v>
      </c>
      <c r="AP59" s="3">
        <v>0.72028606967863162</v>
      </c>
      <c r="AQ59" s="3">
        <v>-5.0070997349753003E-3</v>
      </c>
      <c r="AR59" s="3">
        <v>0.88721147027390779</v>
      </c>
      <c r="AS59" s="3">
        <v>0.69712816033640568</v>
      </c>
      <c r="AT59" s="3">
        <v>0.71383475096427307</v>
      </c>
      <c r="AU59" s="3">
        <v>2.9250338639737999E-2</v>
      </c>
      <c r="AV59" s="3">
        <v>0.88411211359407205</v>
      </c>
      <c r="AW59" s="3">
        <v>0.87760421974735603</v>
      </c>
      <c r="AX59" s="3">
        <v>0.88437626321526586</v>
      </c>
      <c r="AY59" s="3">
        <v>6.3649013052994599E-2</v>
      </c>
      <c r="AZ59" s="3">
        <v>0.91773535114222038</v>
      </c>
      <c r="BA59" s="16">
        <f t="shared" si="2"/>
        <v>0.68584121178945923</v>
      </c>
      <c r="BB59" s="16">
        <f t="shared" si="3"/>
        <v>0.55745737467532652</v>
      </c>
    </row>
    <row r="60" spans="1:54" x14ac:dyDescent="0.25">
      <c r="A60" s="2" t="s">
        <v>64</v>
      </c>
      <c r="B60" s="2" t="s">
        <v>65</v>
      </c>
      <c r="C60" s="3">
        <v>1E-3</v>
      </c>
      <c r="D60" s="3">
        <v>0.3</v>
      </c>
      <c r="E60" s="2" t="s">
        <v>54</v>
      </c>
      <c r="F60" s="3">
        <v>1</v>
      </c>
      <c r="G60" s="2" t="s">
        <v>51</v>
      </c>
      <c r="H60" s="2" t="s">
        <v>68</v>
      </c>
      <c r="I60" s="2">
        <v>171</v>
      </c>
      <c r="J60" s="2">
        <v>3</v>
      </c>
      <c r="K60" s="2">
        <v>180</v>
      </c>
      <c r="L60" s="2">
        <v>156</v>
      </c>
      <c r="M60" s="2">
        <v>0.91200000000000003</v>
      </c>
      <c r="N60" s="2">
        <v>2</v>
      </c>
      <c r="O60" s="2">
        <v>0</v>
      </c>
      <c r="P60" s="2">
        <v>10000</v>
      </c>
      <c r="Q60" s="2">
        <v>3633</v>
      </c>
      <c r="R60" s="4">
        <v>7.296320915222168</v>
      </c>
      <c r="S60" s="4">
        <v>4.0321937402089434</v>
      </c>
      <c r="T60" s="4"/>
      <c r="U60" s="4">
        <v>3.5640054543813071</v>
      </c>
      <c r="V60" s="4">
        <v>7.7009482383728027</v>
      </c>
      <c r="W60" s="4">
        <v>0.58621299266815186</v>
      </c>
      <c r="X60" s="5">
        <v>96.754872059999798</v>
      </c>
      <c r="Y60" s="5">
        <v>208.8083162260009</v>
      </c>
      <c r="Z60" s="3">
        <v>0.41377728684454451</v>
      </c>
      <c r="AA60" s="3">
        <v>0.32400000000000001</v>
      </c>
      <c r="AB60" s="3">
        <v>0.51100000000000001</v>
      </c>
      <c r="AC60" s="3">
        <v>8.1002723891279997E-4</v>
      </c>
      <c r="AD60" s="3">
        <v>0.32065805792808533</v>
      </c>
      <c r="AE60" s="3">
        <v>9.2289537191390894E-2</v>
      </c>
      <c r="AF60" s="2">
        <v>0</v>
      </c>
      <c r="AG60" s="3">
        <v>0.36294859647750849</v>
      </c>
      <c r="AH60" s="3">
        <v>10.398062705993651</v>
      </c>
      <c r="AI60" s="3">
        <v>0</v>
      </c>
      <c r="AJ60" s="3">
        <v>0</v>
      </c>
      <c r="AK60" s="3">
        <v>-2.5543690943299211</v>
      </c>
      <c r="AL60" s="3">
        <v>-1.55827926674894E-2</v>
      </c>
      <c r="AM60" s="3">
        <v>6.6622359884401502E-2</v>
      </c>
      <c r="AN60" s="3">
        <v>0.95476114760852082</v>
      </c>
      <c r="AO60" s="3">
        <v>-2.701360220572472</v>
      </c>
      <c r="AP60" s="3">
        <v>-4.8264861842608697E-2</v>
      </c>
      <c r="AQ60" s="3">
        <v>8.9059295234059296E-2</v>
      </c>
      <c r="AR60" s="3">
        <v>0.94022897210902157</v>
      </c>
      <c r="AS60" s="3">
        <v>-2.566007930644671</v>
      </c>
      <c r="AT60" s="3">
        <v>-8.7165724219948601E-2</v>
      </c>
      <c r="AU60" s="3">
        <v>6.7015739434375998E-2</v>
      </c>
      <c r="AV60" s="3">
        <v>0.94418091624749878</v>
      </c>
      <c r="AW60" s="3">
        <v>-3.1003722185747939</v>
      </c>
      <c r="AX60" s="3">
        <v>-2.714228464204703</v>
      </c>
      <c r="AY60" s="3">
        <v>-0.43669155729636161</v>
      </c>
      <c r="AZ60" s="3">
        <v>-0.9827234398692456</v>
      </c>
      <c r="BA60" s="16">
        <f t="shared" si="2"/>
        <v>-1.8085039199862762</v>
      </c>
      <c r="BB60" s="16">
        <f t="shared" si="3"/>
        <v>-0.40924018281326929</v>
      </c>
    </row>
    <row r="61" spans="1:54" x14ac:dyDescent="0.25">
      <c r="A61" s="2" t="s">
        <v>64</v>
      </c>
      <c r="B61" s="2" t="s">
        <v>65</v>
      </c>
      <c r="C61" s="3">
        <v>1E-3</v>
      </c>
      <c r="D61" s="3">
        <v>0.3</v>
      </c>
      <c r="E61" s="2" t="s">
        <v>54</v>
      </c>
      <c r="F61" s="3">
        <v>1</v>
      </c>
      <c r="G61" s="2" t="s">
        <v>51</v>
      </c>
      <c r="H61" s="2" t="s">
        <v>68</v>
      </c>
      <c r="I61" s="2">
        <v>171</v>
      </c>
      <c r="J61" s="2">
        <v>3</v>
      </c>
      <c r="K61" s="2">
        <v>180</v>
      </c>
      <c r="L61" s="2">
        <v>156</v>
      </c>
      <c r="M61" s="2">
        <v>0.91200000000000003</v>
      </c>
      <c r="N61" s="2">
        <v>3</v>
      </c>
      <c r="O61" s="2">
        <v>0</v>
      </c>
      <c r="P61" s="2">
        <v>10000</v>
      </c>
      <c r="Q61" s="2">
        <v>5297</v>
      </c>
      <c r="R61" s="4">
        <v>1.1437225341796879</v>
      </c>
      <c r="S61" s="4">
        <v>1.8181404272715249</v>
      </c>
      <c r="T61" s="4"/>
      <c r="U61" s="4">
        <v>1.751466790835063</v>
      </c>
      <c r="V61" s="4">
        <v>1.546056270599365</v>
      </c>
      <c r="W61" s="4">
        <v>2.44950298219919E-2</v>
      </c>
      <c r="X61" s="5">
        <v>113.65153954099971</v>
      </c>
      <c r="Y61" s="5">
        <v>1437.234597339004</v>
      </c>
      <c r="Z61" s="3">
        <v>0.41377728684454451</v>
      </c>
      <c r="AA61" s="3">
        <v>0.32400000000000001</v>
      </c>
      <c r="AB61" s="3">
        <v>0.51100000000000001</v>
      </c>
      <c r="AC61" s="3">
        <v>1.5183551004156E-3</v>
      </c>
      <c r="AD61" s="3">
        <v>0.2772400975227356</v>
      </c>
      <c r="AE61" s="3">
        <v>7.086883764714E-3</v>
      </c>
      <c r="AF61" s="2">
        <v>1</v>
      </c>
      <c r="AG61" s="3">
        <v>0.2357883006334304</v>
      </c>
      <c r="AH61" s="3">
        <v>-0.84920018911361694</v>
      </c>
      <c r="AI61" s="3">
        <v>0</v>
      </c>
      <c r="AJ61" s="3">
        <v>0</v>
      </c>
      <c r="AK61" s="3">
        <v>0.850377654187914</v>
      </c>
      <c r="AL61" s="3">
        <v>0.77115983594252968</v>
      </c>
      <c r="AM61" s="3">
        <v>0.12748308854878129</v>
      </c>
      <c r="AN61" s="3">
        <v>0.93774932706751002</v>
      </c>
      <c r="AO61" s="3">
        <v>0.76400774402948013</v>
      </c>
      <c r="AP61" s="3">
        <v>0.92949196579005677</v>
      </c>
      <c r="AQ61" s="3">
        <v>6.0550447195234301E-2</v>
      </c>
      <c r="AR61" s="3">
        <v>0.95662478231049797</v>
      </c>
      <c r="AS61" s="3">
        <v>0.71400902952758949</v>
      </c>
      <c r="AT61" s="3">
        <v>0.74443692991717136</v>
      </c>
      <c r="AU61" s="3">
        <v>0.1382975941247499</v>
      </c>
      <c r="AV61" s="3">
        <v>0.90870356977487643</v>
      </c>
      <c r="AW61" s="3">
        <v>0.69552653596608582</v>
      </c>
      <c r="AX61" s="3">
        <v>0.76451316719176798</v>
      </c>
      <c r="AY61" s="3">
        <v>0.17803974632255259</v>
      </c>
      <c r="AZ61" s="3">
        <v>0.86059346781546031</v>
      </c>
      <c r="BA61" s="16">
        <f t="shared" si="2"/>
        <v>0.62466822932396671</v>
      </c>
      <c r="BB61" s="16">
        <f t="shared" si="3"/>
        <v>0.65857433070136595</v>
      </c>
    </row>
    <row r="62" spans="1:54" x14ac:dyDescent="0.25">
      <c r="A62" s="2" t="s">
        <v>64</v>
      </c>
      <c r="B62" s="2" t="s">
        <v>65</v>
      </c>
      <c r="C62" s="3">
        <v>1E-3</v>
      </c>
      <c r="D62" s="3">
        <v>0.3</v>
      </c>
      <c r="E62" s="2" t="s">
        <v>56</v>
      </c>
      <c r="F62" s="3">
        <v>1</v>
      </c>
      <c r="G62" s="2" t="s">
        <v>49</v>
      </c>
      <c r="H62" s="2" t="s">
        <v>69</v>
      </c>
      <c r="I62" s="2">
        <v>227</v>
      </c>
      <c r="J62" s="2">
        <v>3</v>
      </c>
      <c r="K62" s="2">
        <v>236</v>
      </c>
      <c r="L62" s="2">
        <v>156</v>
      </c>
      <c r="M62" s="2">
        <v>0.68700000000000006</v>
      </c>
      <c r="N62" s="2">
        <v>2</v>
      </c>
      <c r="O62" s="2">
        <v>0</v>
      </c>
      <c r="P62" s="2">
        <v>10000</v>
      </c>
      <c r="Q62" s="2">
        <v>4671</v>
      </c>
      <c r="R62" s="4">
        <v>7.1441617012023926</v>
      </c>
      <c r="S62" s="4">
        <v>3.998863379160563</v>
      </c>
      <c r="T62" s="4"/>
      <c r="U62" s="4">
        <v>3.6850016117095938</v>
      </c>
      <c r="V62" s="4">
        <v>8.0984535217285156</v>
      </c>
      <c r="W62" s="4">
        <v>0.55800610780715942</v>
      </c>
      <c r="X62" s="5">
        <v>102.9660394789998</v>
      </c>
      <c r="Y62" s="5">
        <v>261.21721751100267</v>
      </c>
      <c r="Z62" s="3">
        <v>0.41377728684454451</v>
      </c>
      <c r="AA62" s="3">
        <v>0.32400000000000001</v>
      </c>
      <c r="AB62" s="3">
        <v>0.51100000000000001</v>
      </c>
      <c r="AC62" s="3">
        <v>1.8289497820659999E-3</v>
      </c>
      <c r="AD62" s="3">
        <v>0.32939437031745911</v>
      </c>
      <c r="AE62" s="3">
        <v>0.1191429793834686</v>
      </c>
      <c r="AF62" s="2">
        <v>0</v>
      </c>
      <c r="AG62" s="3">
        <v>0.32117640972137451</v>
      </c>
      <c r="AH62" s="3">
        <v>9.9480857849121094</v>
      </c>
      <c r="AI62" s="3">
        <v>0</v>
      </c>
      <c r="AJ62" s="3">
        <v>0</v>
      </c>
      <c r="AK62" s="3">
        <v>-2.6605876590689528</v>
      </c>
      <c r="AL62" s="3">
        <v>-1.45357006363566E-2</v>
      </c>
      <c r="AM62" s="3">
        <v>0.1196890540003827</v>
      </c>
      <c r="AN62" s="3">
        <v>0.9613029338228396</v>
      </c>
      <c r="AO62" s="3">
        <v>-2.9425932616521071</v>
      </c>
      <c r="AP62" s="3">
        <v>-1.2255867521024699E-2</v>
      </c>
      <c r="AQ62" s="3">
        <v>8.4994218943557798E-2</v>
      </c>
      <c r="AR62" s="3">
        <v>0.95268857721928679</v>
      </c>
      <c r="AS62" s="3">
        <v>-2.7177453241772112</v>
      </c>
      <c r="AT62" s="3">
        <v>-8.1773866393343303E-2</v>
      </c>
      <c r="AU62" s="3">
        <v>0.1420269600677824</v>
      </c>
      <c r="AV62" s="3">
        <v>0.93777299825973559</v>
      </c>
      <c r="AW62" s="3">
        <v>-3.1083706201559869</v>
      </c>
      <c r="AX62" s="3">
        <v>-2.701946608465466</v>
      </c>
      <c r="AY62" s="3">
        <v>-0.38772925302741679</v>
      </c>
      <c r="AZ62" s="3">
        <v>-0.79867870055838974</v>
      </c>
      <c r="BA62" s="16">
        <f t="shared" si="2"/>
        <v>-1.7491812955518149</v>
      </c>
      <c r="BB62" s="16">
        <f t="shared" si="3"/>
        <v>-0.43591807809461763</v>
      </c>
    </row>
    <row r="63" spans="1:54" x14ac:dyDescent="0.25">
      <c r="A63" s="2" t="s">
        <v>64</v>
      </c>
      <c r="B63" s="2" t="s">
        <v>65</v>
      </c>
      <c r="C63" s="3">
        <v>1E-3</v>
      </c>
      <c r="D63" s="3">
        <v>0.3</v>
      </c>
      <c r="E63" s="2" t="s">
        <v>56</v>
      </c>
      <c r="F63" s="3">
        <v>1</v>
      </c>
      <c r="G63" s="2" t="s">
        <v>49</v>
      </c>
      <c r="H63" s="2" t="s">
        <v>69</v>
      </c>
      <c r="I63" s="2">
        <v>227</v>
      </c>
      <c r="J63" s="2">
        <v>3</v>
      </c>
      <c r="K63" s="2">
        <v>236</v>
      </c>
      <c r="L63" s="2">
        <v>156</v>
      </c>
      <c r="M63" s="2">
        <v>0.68700000000000006</v>
      </c>
      <c r="N63" s="2">
        <v>3</v>
      </c>
      <c r="O63" s="2">
        <v>0</v>
      </c>
      <c r="P63" s="2">
        <v>10000</v>
      </c>
      <c r="Q63" s="2">
        <v>3805</v>
      </c>
      <c r="R63" s="4">
        <v>1.447978138923645</v>
      </c>
      <c r="S63" s="4">
        <v>2.4655070702234898</v>
      </c>
      <c r="T63" s="4"/>
      <c r="U63" s="4">
        <v>6.6029758453369141</v>
      </c>
      <c r="V63" s="4">
        <v>4.4577841758728027</v>
      </c>
      <c r="W63" s="4">
        <v>0.21565325558185569</v>
      </c>
      <c r="X63" s="5">
        <v>111.6633619889999</v>
      </c>
      <c r="Y63" s="5">
        <v>739.35166004900384</v>
      </c>
      <c r="Z63" s="3">
        <v>0.41377728684454451</v>
      </c>
      <c r="AA63" s="3">
        <v>0.32400000000000001</v>
      </c>
      <c r="AB63" s="3">
        <v>0.51100000000000001</v>
      </c>
      <c r="AC63" s="3">
        <v>1.1607282795011E-3</v>
      </c>
      <c r="AD63" s="3">
        <v>0.34282764792442322</v>
      </c>
      <c r="AE63" s="3">
        <v>8.6951237171888004E-3</v>
      </c>
      <c r="AF63" s="2">
        <v>1</v>
      </c>
      <c r="AG63" s="3">
        <v>0.30634722113609308</v>
      </c>
      <c r="AH63" s="3">
        <v>-0.56696498394012451</v>
      </c>
      <c r="AI63" s="3">
        <v>0</v>
      </c>
      <c r="AJ63" s="3">
        <v>0</v>
      </c>
      <c r="AK63" s="3">
        <v>0.13555817742929949</v>
      </c>
      <c r="AL63" s="3">
        <v>0.5094003206865616</v>
      </c>
      <c r="AM63" s="3">
        <v>2.8951991131249102E-2</v>
      </c>
      <c r="AN63" s="3">
        <v>0.82379058384912884</v>
      </c>
      <c r="AO63" s="3">
        <v>0.32031387210798928</v>
      </c>
      <c r="AP63" s="3">
        <v>0.58605567214253251</v>
      </c>
      <c r="AQ63" s="3">
        <v>4.7149094717102998E-2</v>
      </c>
      <c r="AR63" s="3">
        <v>0.91098438733373044</v>
      </c>
      <c r="AS63" s="3">
        <v>0.262064631236884</v>
      </c>
      <c r="AT63" s="3">
        <v>0.58150415990158444</v>
      </c>
      <c r="AU63" s="3">
        <v>7.0681425451738999E-2</v>
      </c>
      <c r="AV63" s="3">
        <v>0.87251552093184026</v>
      </c>
      <c r="AW63" s="3">
        <v>0.72425637886857086</v>
      </c>
      <c r="AX63" s="3">
        <v>0.68346572176667741</v>
      </c>
      <c r="AY63" s="3">
        <v>8.3251415476906704E-2</v>
      </c>
      <c r="AZ63" s="3">
        <v>0.58433446752594942</v>
      </c>
      <c r="BA63" s="16">
        <f t="shared" si="2"/>
        <v>0.51882699590952608</v>
      </c>
      <c r="BB63" s="16">
        <f t="shared" si="3"/>
        <v>0.42908081974330353</v>
      </c>
    </row>
    <row r="64" spans="1:54" x14ac:dyDescent="0.25">
      <c r="A64" s="2" t="s">
        <v>64</v>
      </c>
      <c r="B64" s="2" t="s">
        <v>65</v>
      </c>
      <c r="C64" s="3">
        <v>1E-3</v>
      </c>
      <c r="D64" s="3">
        <v>0.3</v>
      </c>
      <c r="E64" s="2" t="s">
        <v>56</v>
      </c>
      <c r="F64" s="3">
        <v>1</v>
      </c>
      <c r="G64" s="2" t="s">
        <v>51</v>
      </c>
      <c r="H64" s="2" t="s">
        <v>69</v>
      </c>
      <c r="I64" s="2">
        <v>227</v>
      </c>
      <c r="J64" s="2">
        <v>3</v>
      </c>
      <c r="K64" s="2">
        <v>236</v>
      </c>
      <c r="L64" s="2">
        <v>156</v>
      </c>
      <c r="M64" s="2">
        <v>0.68700000000000006</v>
      </c>
      <c r="N64" s="2">
        <v>2</v>
      </c>
      <c r="O64" s="2">
        <v>1</v>
      </c>
      <c r="P64" s="2">
        <v>9887</v>
      </c>
      <c r="Q64" s="2">
        <v>7218</v>
      </c>
      <c r="R64" s="4">
        <v>1.058856248855591</v>
      </c>
      <c r="S64" s="4">
        <v>2.0469420750935869</v>
      </c>
      <c r="T64" s="4"/>
      <c r="U64" s="4"/>
      <c r="V64" s="4"/>
      <c r="W64" s="4">
        <v>1.95153597742319E-2</v>
      </c>
      <c r="X64" s="5">
        <v>121.97458488400019</v>
      </c>
      <c r="Y64" s="5">
        <v>3391.5397023109981</v>
      </c>
      <c r="Z64" s="3">
        <v>0.41377728684454451</v>
      </c>
      <c r="AA64" s="3">
        <v>0.32400000000000001</v>
      </c>
      <c r="AB64" s="3">
        <v>0.51100000000000001</v>
      </c>
      <c r="AC64" s="3">
        <v>2.0233397372065999E-3</v>
      </c>
      <c r="AD64" s="3">
        <v>0.25292202830314631</v>
      </c>
      <c r="AE64" s="3">
        <v>7.4638659134506997E-3</v>
      </c>
      <c r="AF64" s="2">
        <v>1</v>
      </c>
      <c r="AG64" s="3">
        <v>0.17065219581127161</v>
      </c>
      <c r="AH64" s="3">
        <v>-0.3731904923915863</v>
      </c>
      <c r="AI64" s="3">
        <v>0</v>
      </c>
      <c r="AJ64" s="3">
        <v>0</v>
      </c>
      <c r="AK64" s="3">
        <v>0.75106676831153774</v>
      </c>
      <c r="AL64" s="3">
        <v>0.74068288358886136</v>
      </c>
      <c r="AM64" s="3">
        <v>0.11807557424827909</v>
      </c>
      <c r="AN64" s="3">
        <v>0.87777849102405392</v>
      </c>
      <c r="AO64" s="3">
        <v>0.48195206586545558</v>
      </c>
      <c r="AP64" s="3">
        <v>0.83861433433495935</v>
      </c>
      <c r="AQ64" s="3">
        <v>-2.9995607408006698E-2</v>
      </c>
      <c r="AR64" s="3">
        <v>0.85353122403823722</v>
      </c>
      <c r="AS64" s="3">
        <v>0.68615385084364144</v>
      </c>
      <c r="AT64" s="3">
        <v>0.70325760593629594</v>
      </c>
      <c r="AU64" s="3">
        <v>0.1262442490324526</v>
      </c>
      <c r="AV64" s="3">
        <v>0.88131081788566668</v>
      </c>
      <c r="AW64" s="3">
        <v>0.76467621831566424</v>
      </c>
      <c r="AX64" s="3">
        <v>0.79972562333216002</v>
      </c>
      <c r="AY64" s="3">
        <v>0.17851922570934331</v>
      </c>
      <c r="AZ64" s="3">
        <v>0.91339591675659415</v>
      </c>
      <c r="BA64" s="16">
        <f t="shared" si="2"/>
        <v>0.66407924602844037</v>
      </c>
      <c r="BB64" s="16">
        <f t="shared" si="3"/>
        <v>0.58572268814178619</v>
      </c>
    </row>
    <row r="65" spans="1:54" x14ac:dyDescent="0.25">
      <c r="A65" s="2" t="s">
        <v>64</v>
      </c>
      <c r="B65" s="2" t="s">
        <v>65</v>
      </c>
      <c r="C65" s="3">
        <v>1E-3</v>
      </c>
      <c r="D65" s="3">
        <v>0.3</v>
      </c>
      <c r="E65" s="2" t="s">
        <v>56</v>
      </c>
      <c r="F65" s="3">
        <v>1</v>
      </c>
      <c r="G65" s="2" t="s">
        <v>51</v>
      </c>
      <c r="H65" s="2" t="s">
        <v>69</v>
      </c>
      <c r="I65" s="2">
        <v>227</v>
      </c>
      <c r="J65" s="2">
        <v>3</v>
      </c>
      <c r="K65" s="2">
        <v>236</v>
      </c>
      <c r="L65" s="2">
        <v>156</v>
      </c>
      <c r="M65" s="2">
        <v>0.68700000000000006</v>
      </c>
      <c r="N65" s="2">
        <v>3</v>
      </c>
      <c r="O65" s="2">
        <v>0</v>
      </c>
      <c r="P65" s="2">
        <v>10000</v>
      </c>
      <c r="Q65" s="2">
        <v>4611</v>
      </c>
      <c r="R65" s="4">
        <v>2.179395198822021</v>
      </c>
      <c r="S65" s="4">
        <v>2.9969724019368491</v>
      </c>
      <c r="T65" s="4"/>
      <c r="U65" s="4">
        <v>2.9049328168233242</v>
      </c>
      <c r="V65" s="4">
        <v>2.640053272247314</v>
      </c>
      <c r="W65" s="4">
        <v>0.12618456780910489</v>
      </c>
      <c r="X65" s="5">
        <v>120.5570217410004</v>
      </c>
      <c r="Y65" s="5">
        <v>2424.7667487479998</v>
      </c>
      <c r="Z65" s="3">
        <v>0.41377728684454451</v>
      </c>
      <c r="AA65" s="3">
        <v>0.32400000000000001</v>
      </c>
      <c r="AB65" s="3">
        <v>0.51100000000000001</v>
      </c>
      <c r="AC65" s="3">
        <v>1.2054997496306001E-3</v>
      </c>
      <c r="AD65" s="3">
        <v>0.30455991625785828</v>
      </c>
      <c r="AE65" s="3">
        <v>7.8800311312078996E-3</v>
      </c>
      <c r="AF65" s="2">
        <v>1</v>
      </c>
      <c r="AG65" s="3">
        <v>0.33163163065910339</v>
      </c>
      <c r="AH65" s="3">
        <v>-3.096274614334106</v>
      </c>
      <c r="AI65" s="3">
        <v>0</v>
      </c>
      <c r="AJ65" s="3">
        <v>0</v>
      </c>
      <c r="AK65" s="3">
        <v>0.58394591073132185</v>
      </c>
      <c r="AL65" s="3">
        <v>0.86370390591164503</v>
      </c>
      <c r="AM65" s="3">
        <v>-0.58110384038519092</v>
      </c>
      <c r="AN65" s="3">
        <v>0.84864125229368514</v>
      </c>
      <c r="AO65" s="3">
        <v>0.65000697108994165</v>
      </c>
      <c r="AP65" s="3">
        <v>0.87680223920444589</v>
      </c>
      <c r="AQ65" s="3">
        <v>-0.47497146011319308</v>
      </c>
      <c r="AR65" s="3">
        <v>0.93221920771451583</v>
      </c>
      <c r="AS65" s="3">
        <v>0.79178237779276484</v>
      </c>
      <c r="AT65" s="3">
        <v>0.83358808891606362</v>
      </c>
      <c r="AU65" s="3">
        <v>-0.87145108871476706</v>
      </c>
      <c r="AV65" s="3">
        <v>0.92239153373032556</v>
      </c>
      <c r="AW65" s="3">
        <v>0.87485007502346135</v>
      </c>
      <c r="AX65" s="3">
        <v>0.84165308802598759</v>
      </c>
      <c r="AY65" s="3">
        <v>-1.1073897722428609</v>
      </c>
      <c r="AZ65" s="3">
        <v>0.84800627190652922</v>
      </c>
      <c r="BA65" s="16">
        <f t="shared" si="2"/>
        <v>0.36427991567827933</v>
      </c>
      <c r="BB65" s="16">
        <f t="shared" si="3"/>
        <v>0.44796292484762995</v>
      </c>
    </row>
    <row r="66" spans="1:54" x14ac:dyDescent="0.25">
      <c r="A66" s="2" t="s">
        <v>64</v>
      </c>
      <c r="B66" s="2" t="s">
        <v>65</v>
      </c>
      <c r="C66" s="3">
        <v>0.01</v>
      </c>
      <c r="D66" s="3">
        <v>0.1</v>
      </c>
      <c r="E66" s="2" t="s">
        <v>48</v>
      </c>
      <c r="F66" s="3">
        <v>1</v>
      </c>
      <c r="G66" s="2" t="s">
        <v>49</v>
      </c>
      <c r="H66" s="2" t="s">
        <v>66</v>
      </c>
      <c r="I66" s="2">
        <v>43</v>
      </c>
      <c r="J66" s="2">
        <v>3</v>
      </c>
      <c r="K66" s="2">
        <v>52</v>
      </c>
      <c r="L66" s="2">
        <v>156</v>
      </c>
      <c r="M66" s="2">
        <v>3.6280000000000001</v>
      </c>
      <c r="N66" s="2">
        <v>2</v>
      </c>
      <c r="O66" s="2">
        <v>1</v>
      </c>
      <c r="P66" s="2">
        <v>1</v>
      </c>
      <c r="Q66" s="2"/>
      <c r="R66" s="4"/>
      <c r="S66" s="4"/>
      <c r="T66" s="4"/>
      <c r="U66" s="4">
        <v>149309038192967.91</v>
      </c>
      <c r="V66" s="4">
        <v>6.091194877068276E+23</v>
      </c>
      <c r="W66" s="4"/>
      <c r="X66" s="5">
        <v>20.524616443999999</v>
      </c>
      <c r="Y66" s="5">
        <v>17.51562387000001</v>
      </c>
      <c r="Z66" s="3">
        <v>0.41377728684454451</v>
      </c>
      <c r="AA66" s="3">
        <v>0.32400000000000001</v>
      </c>
      <c r="AB66" s="3">
        <v>0.51100000000000001</v>
      </c>
      <c r="AC66" s="3"/>
      <c r="AD66" s="3"/>
      <c r="AE66" s="3"/>
      <c r="AF66" s="2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16" t="e">
        <f t="shared" si="2"/>
        <v>#DIV/0!</v>
      </c>
      <c r="BB66" s="16" t="e">
        <f t="shared" si="3"/>
        <v>#DIV/0!</v>
      </c>
    </row>
    <row r="67" spans="1:54" x14ac:dyDescent="0.25">
      <c r="A67" s="2" t="s">
        <v>64</v>
      </c>
      <c r="B67" s="2" t="s">
        <v>65</v>
      </c>
      <c r="C67" s="3">
        <v>0.01</v>
      </c>
      <c r="D67" s="3">
        <v>0.1</v>
      </c>
      <c r="E67" s="2" t="s">
        <v>48</v>
      </c>
      <c r="F67" s="3">
        <v>1</v>
      </c>
      <c r="G67" s="2" t="s">
        <v>49</v>
      </c>
      <c r="H67" s="2" t="s">
        <v>66</v>
      </c>
      <c r="I67" s="2">
        <v>43</v>
      </c>
      <c r="J67" s="2">
        <v>3</v>
      </c>
      <c r="K67" s="2">
        <v>52</v>
      </c>
      <c r="L67" s="2">
        <v>156</v>
      </c>
      <c r="M67" s="2">
        <v>3.6280000000000001</v>
      </c>
      <c r="N67" s="2">
        <v>3</v>
      </c>
      <c r="O67" s="2">
        <v>0</v>
      </c>
      <c r="P67" s="2">
        <v>10000</v>
      </c>
      <c r="Q67" s="2">
        <v>118</v>
      </c>
      <c r="R67" s="4">
        <v>7.5509381294250488</v>
      </c>
      <c r="S67" s="4">
        <v>4.9309349060058594</v>
      </c>
      <c r="T67" s="4"/>
      <c r="U67" s="4">
        <v>4.4552315076192217</v>
      </c>
      <c r="V67" s="4">
        <v>8.4429988861083984</v>
      </c>
      <c r="W67" s="4">
        <v>0.64816743135452271</v>
      </c>
      <c r="X67" s="5">
        <v>90.746201323999955</v>
      </c>
      <c r="Y67" s="5">
        <v>239.371213485</v>
      </c>
      <c r="Z67" s="3">
        <v>0.41377728684454451</v>
      </c>
      <c r="AA67" s="3">
        <v>0.32400000000000001</v>
      </c>
      <c r="AB67" s="3">
        <v>0.51100000000000001</v>
      </c>
      <c r="AC67" s="3">
        <v>6.5923971123992998E-3</v>
      </c>
      <c r="AD67" s="3">
        <v>0.25744059681892389</v>
      </c>
      <c r="AE67" s="3">
        <v>0.1973462849855423</v>
      </c>
      <c r="AF67" s="2">
        <v>0</v>
      </c>
      <c r="AG67" s="3">
        <v>0.1813405752182006</v>
      </c>
      <c r="AH67" s="3">
        <v>10.161290168762211</v>
      </c>
      <c r="AI67" s="3">
        <v>0</v>
      </c>
      <c r="AJ67" s="3">
        <v>0</v>
      </c>
      <c r="AK67" s="3">
        <v>-2.9699713107281971</v>
      </c>
      <c r="AL67" s="3">
        <v>-5.9602175930638802E-2</v>
      </c>
      <c r="AM67" s="3">
        <v>-0.28995999517225401</v>
      </c>
      <c r="AN67" s="3">
        <v>0.96733276894254661</v>
      </c>
      <c r="AO67" s="3">
        <v>-3.2133621188116961</v>
      </c>
      <c r="AP67" s="3">
        <v>-6.1422988891613302E-2</v>
      </c>
      <c r="AQ67" s="3">
        <v>-0.44033576936198959</v>
      </c>
      <c r="AR67" s="3">
        <v>0.93181478431672515</v>
      </c>
      <c r="AS67" s="3">
        <v>-2.978355672068361</v>
      </c>
      <c r="AT67" s="3">
        <v>-8.5627449437846601E-2</v>
      </c>
      <c r="AU67" s="3">
        <v>-0.35011313106353747</v>
      </c>
      <c r="AV67" s="3">
        <v>0.89609647008909932</v>
      </c>
      <c r="AW67" s="3">
        <v>-3.1386197606591022</v>
      </c>
      <c r="AX67" s="3">
        <v>-2.888833603052444</v>
      </c>
      <c r="AY67" s="3">
        <v>-0.81716429300435434</v>
      </c>
      <c r="AZ67" s="3">
        <v>-0.4711811948718358</v>
      </c>
      <c r="BA67" s="16">
        <f t="shared" si="2"/>
        <v>-1.8289497128969339</v>
      </c>
      <c r="BB67" s="16">
        <f t="shared" si="3"/>
        <v>-0.63779221567648015</v>
      </c>
    </row>
    <row r="68" spans="1:54" x14ac:dyDescent="0.25">
      <c r="A68" s="2" t="s">
        <v>64</v>
      </c>
      <c r="B68" s="2" t="s">
        <v>65</v>
      </c>
      <c r="C68" s="3">
        <v>0.01</v>
      </c>
      <c r="D68" s="3">
        <v>0.1</v>
      </c>
      <c r="E68" s="2" t="s">
        <v>48</v>
      </c>
      <c r="F68" s="3">
        <v>1</v>
      </c>
      <c r="G68" s="2" t="s">
        <v>51</v>
      </c>
      <c r="H68" s="2" t="s">
        <v>66</v>
      </c>
      <c r="I68" s="2">
        <v>43</v>
      </c>
      <c r="J68" s="2">
        <v>3</v>
      </c>
      <c r="K68" s="2">
        <v>52</v>
      </c>
      <c r="L68" s="2">
        <v>156</v>
      </c>
      <c r="M68" s="2">
        <v>3.6280000000000001</v>
      </c>
      <c r="N68" s="2">
        <v>2</v>
      </c>
      <c r="O68" s="2">
        <v>1</v>
      </c>
      <c r="P68" s="2">
        <v>235</v>
      </c>
      <c r="Q68" s="2">
        <v>230</v>
      </c>
      <c r="R68" s="4">
        <v>6.9215936660766602</v>
      </c>
      <c r="S68" s="4">
        <v>6.4965019226074219</v>
      </c>
      <c r="T68" s="4"/>
      <c r="U68" s="4">
        <v>168013326887763.81</v>
      </c>
      <c r="V68" s="4">
        <v>475.28704833984381</v>
      </c>
      <c r="W68" s="4">
        <v>0.525096595287323</v>
      </c>
      <c r="X68" s="5">
        <v>29.540754024999998</v>
      </c>
      <c r="Y68" s="5">
        <v>27.89141199799997</v>
      </c>
      <c r="Z68" s="3">
        <v>0.41377728684454451</v>
      </c>
      <c r="AA68" s="3">
        <v>0.32400000000000001</v>
      </c>
      <c r="AB68" s="3">
        <v>0.51100000000000001</v>
      </c>
      <c r="AC68" s="3">
        <v>1.2495542177929999E-3</v>
      </c>
      <c r="AD68" s="3">
        <v>0.36055770516395569</v>
      </c>
      <c r="AE68" s="3">
        <v>7.7508124522864003E-3</v>
      </c>
      <c r="AF68" s="2">
        <v>0</v>
      </c>
      <c r="AG68" s="3">
        <v>0.12795476615428919</v>
      </c>
      <c r="AH68" s="3">
        <v>10.461343765258791</v>
      </c>
      <c r="AI68" s="3">
        <v>0</v>
      </c>
      <c r="AJ68" s="3">
        <v>0</v>
      </c>
      <c r="AK68" s="3">
        <v>-3.1609001221817659</v>
      </c>
      <c r="AL68" s="3">
        <v>-7.4734200624020794E-2</v>
      </c>
      <c r="AM68" s="3">
        <v>9.3046238238892104E-2</v>
      </c>
      <c r="AN68" s="3">
        <v>-1.6512776814819361</v>
      </c>
      <c r="AO68" s="3">
        <v>-3.2451060867211159</v>
      </c>
      <c r="AP68" s="3">
        <v>-5.9851033150784397E-2</v>
      </c>
      <c r="AQ68" s="3">
        <v>7.8642751972650193E-2</v>
      </c>
      <c r="AR68" s="3">
        <v>-1.6813744628159299</v>
      </c>
      <c r="AS68" s="3">
        <v>-3.2795417159992848</v>
      </c>
      <c r="AT68" s="3">
        <v>-1.980299803112999</v>
      </c>
      <c r="AU68" s="3">
        <v>-6.4920832358232004E-3</v>
      </c>
      <c r="AV68" s="3">
        <v>-1.660698802418354</v>
      </c>
      <c r="AW68" s="3">
        <v>-3.0352021226948551</v>
      </c>
      <c r="AX68" s="3">
        <v>-2.318982425805987</v>
      </c>
      <c r="AY68" s="3">
        <v>-2.73442673136647E-2</v>
      </c>
      <c r="AZ68" s="3">
        <v>-1.7417129059308289</v>
      </c>
      <c r="BA68" s="16">
        <f t="shared" si="2"/>
        <v>-1.7808104304363339</v>
      </c>
      <c r="BB68" s="16">
        <f t="shared" si="3"/>
        <v>-1.3857155834608725</v>
      </c>
    </row>
    <row r="69" spans="1:54" x14ac:dyDescent="0.25">
      <c r="A69" s="2" t="s">
        <v>64</v>
      </c>
      <c r="B69" s="2" t="s">
        <v>65</v>
      </c>
      <c r="C69" s="3">
        <v>0.01</v>
      </c>
      <c r="D69" s="3">
        <v>0.1</v>
      </c>
      <c r="E69" s="2" t="s">
        <v>48</v>
      </c>
      <c r="F69" s="3">
        <v>1</v>
      </c>
      <c r="G69" s="2" t="s">
        <v>51</v>
      </c>
      <c r="H69" s="2" t="s">
        <v>66</v>
      </c>
      <c r="I69" s="2">
        <v>43</v>
      </c>
      <c r="J69" s="2">
        <v>3</v>
      </c>
      <c r="K69" s="2">
        <v>52</v>
      </c>
      <c r="L69" s="2">
        <v>156</v>
      </c>
      <c r="M69" s="2">
        <v>3.6280000000000001</v>
      </c>
      <c r="N69" s="2">
        <v>3</v>
      </c>
      <c r="O69" s="2">
        <v>0</v>
      </c>
      <c r="P69" s="2">
        <v>10000</v>
      </c>
      <c r="Q69" s="2">
        <v>12</v>
      </c>
      <c r="R69" s="4">
        <v>7.426783561706543</v>
      </c>
      <c r="S69" s="4">
        <v>9.4032127062479631</v>
      </c>
      <c r="T69" s="4"/>
      <c r="U69" s="4">
        <v>7.6967770258585606</v>
      </c>
      <c r="V69" s="4">
        <v>8.5942506790161133</v>
      </c>
      <c r="W69" s="4">
        <v>0.14966161549091339</v>
      </c>
      <c r="X69" s="5">
        <v>89.902255860999986</v>
      </c>
      <c r="Y69" s="5">
        <v>117.718591295</v>
      </c>
      <c r="Z69" s="3">
        <v>0.41377728684454451</v>
      </c>
      <c r="AA69" s="3">
        <v>0.32400000000000001</v>
      </c>
      <c r="AB69" s="3">
        <v>0.51100000000000001</v>
      </c>
      <c r="AC69" s="3">
        <v>1.2330042663961001E-3</v>
      </c>
      <c r="AD69" s="3">
        <v>0.34901529550552368</v>
      </c>
      <c r="AE69" s="3">
        <v>6.4550237730145003E-3</v>
      </c>
      <c r="AF69" s="2">
        <v>0</v>
      </c>
      <c r="AG69" s="3">
        <v>2.5789564475417099E-2</v>
      </c>
      <c r="AH69" s="3">
        <v>20.488811492919918</v>
      </c>
      <c r="AI69" s="3">
        <v>0</v>
      </c>
      <c r="AJ69" s="3">
        <v>0</v>
      </c>
      <c r="AK69" s="3">
        <v>-3.194830764497214</v>
      </c>
      <c r="AL69" s="3">
        <v>-1.93193071890101</v>
      </c>
      <c r="AM69" s="3">
        <v>-1.101826874552547</v>
      </c>
      <c r="AN69" s="3">
        <v>-1.6797213479524911</v>
      </c>
      <c r="AO69" s="3">
        <v>-3.495843633294839</v>
      </c>
      <c r="AP69" s="3">
        <v>-1.827596453796714</v>
      </c>
      <c r="AQ69" s="3">
        <v>-0.35674335281666147</v>
      </c>
      <c r="AR69" s="3">
        <v>-1.819201724452425</v>
      </c>
      <c r="AS69" s="3">
        <v>-3.2773662744631959</v>
      </c>
      <c r="AT69" s="3">
        <v>-1.961508902327455</v>
      </c>
      <c r="AU69" s="3">
        <v>-0.41064867554997431</v>
      </c>
      <c r="AV69" s="3">
        <v>-1.6645688476565139</v>
      </c>
      <c r="AW69" s="3">
        <v>-3.1037679551193902</v>
      </c>
      <c r="AX69" s="3">
        <v>-2.3298154809168472</v>
      </c>
      <c r="AY69" s="3">
        <v>-0.5110072318372938</v>
      </c>
      <c r="AZ69" s="3">
        <v>-1.8099606566695281</v>
      </c>
      <c r="BA69" s="16">
        <f t="shared" si="2"/>
        <v>-1.9386378311357646</v>
      </c>
      <c r="BB69" s="16">
        <f t="shared" si="3"/>
        <v>-1.8934822975217536</v>
      </c>
    </row>
    <row r="70" spans="1:54" x14ac:dyDescent="0.25">
      <c r="A70" s="2" t="s">
        <v>64</v>
      </c>
      <c r="B70" s="2" t="s">
        <v>65</v>
      </c>
      <c r="C70" s="3">
        <v>0.01</v>
      </c>
      <c r="D70" s="3">
        <v>0.1</v>
      </c>
      <c r="E70" s="2" t="s">
        <v>52</v>
      </c>
      <c r="F70" s="3">
        <v>1</v>
      </c>
      <c r="G70" s="2" t="s">
        <v>49</v>
      </c>
      <c r="H70" s="2" t="s">
        <v>67</v>
      </c>
      <c r="I70" s="2">
        <v>73</v>
      </c>
      <c r="J70" s="2">
        <v>3</v>
      </c>
      <c r="K70" s="2">
        <v>82</v>
      </c>
      <c r="L70" s="2">
        <v>156</v>
      </c>
      <c r="M70" s="2">
        <v>2.137</v>
      </c>
      <c r="N70" s="2">
        <v>2</v>
      </c>
      <c r="O70" s="2">
        <v>1</v>
      </c>
      <c r="P70" s="2">
        <v>1</v>
      </c>
      <c r="Q70" s="2"/>
      <c r="R70" s="4"/>
      <c r="S70" s="4"/>
      <c r="T70" s="4"/>
      <c r="U70" s="4"/>
      <c r="V70" s="4"/>
      <c r="W70" s="4"/>
      <c r="X70" s="5">
        <v>21.256718115999998</v>
      </c>
      <c r="Y70" s="5">
        <v>18.619469653999889</v>
      </c>
      <c r="Z70" s="3">
        <v>0.41377728684454451</v>
      </c>
      <c r="AA70" s="3">
        <v>0.32400000000000001</v>
      </c>
      <c r="AB70" s="3">
        <v>0.51100000000000001</v>
      </c>
      <c r="AC70" s="3"/>
      <c r="AD70" s="3"/>
      <c r="AE70" s="3"/>
      <c r="AF70" s="2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16" t="e">
        <f t="shared" si="2"/>
        <v>#DIV/0!</v>
      </c>
      <c r="BB70" s="16" t="e">
        <f t="shared" si="3"/>
        <v>#DIV/0!</v>
      </c>
    </row>
    <row r="71" spans="1:54" x14ac:dyDescent="0.25">
      <c r="A71" s="2" t="s">
        <v>64</v>
      </c>
      <c r="B71" s="2" t="s">
        <v>65</v>
      </c>
      <c r="C71" s="3">
        <v>0.01</v>
      </c>
      <c r="D71" s="3">
        <v>0.1</v>
      </c>
      <c r="E71" s="2" t="s">
        <v>52</v>
      </c>
      <c r="F71" s="3">
        <v>1</v>
      </c>
      <c r="G71" s="2" t="s">
        <v>49</v>
      </c>
      <c r="H71" s="2" t="s">
        <v>67</v>
      </c>
      <c r="I71" s="2">
        <v>73</v>
      </c>
      <c r="J71" s="2">
        <v>3</v>
      </c>
      <c r="K71" s="2">
        <v>82</v>
      </c>
      <c r="L71" s="2">
        <v>156</v>
      </c>
      <c r="M71" s="2">
        <v>2.137</v>
      </c>
      <c r="N71" s="2">
        <v>3</v>
      </c>
      <c r="O71" s="2">
        <v>0</v>
      </c>
      <c r="P71" s="2">
        <v>10000</v>
      </c>
      <c r="Q71" s="2">
        <v>98</v>
      </c>
      <c r="R71" s="4">
        <v>7.5621776580810547</v>
      </c>
      <c r="S71" s="4">
        <v>4.9905754725138349</v>
      </c>
      <c r="T71" s="4"/>
      <c r="U71" s="4">
        <v>4.4508185386657724</v>
      </c>
      <c r="V71" s="4">
        <v>8.44000244140625</v>
      </c>
      <c r="W71" s="4">
        <v>0.63751423358917236</v>
      </c>
      <c r="X71" s="5">
        <v>95.925629499999999</v>
      </c>
      <c r="Y71" s="5">
        <v>249.06010587899999</v>
      </c>
      <c r="Z71" s="3">
        <v>0.41377728684454451</v>
      </c>
      <c r="AA71" s="3">
        <v>0.32400000000000001</v>
      </c>
      <c r="AB71" s="3">
        <v>0.51100000000000001</v>
      </c>
      <c r="AC71" s="3">
        <v>6.0534374788402999E-3</v>
      </c>
      <c r="AD71" s="3">
        <v>0.10828839242458339</v>
      </c>
      <c r="AE71" s="3">
        <v>0.1851964592933654</v>
      </c>
      <c r="AF71" s="2">
        <v>0</v>
      </c>
      <c r="AG71" s="3">
        <v>0.1934563666582107</v>
      </c>
      <c r="AH71" s="3">
        <v>10.359213829040529</v>
      </c>
      <c r="AI71" s="3">
        <v>0</v>
      </c>
      <c r="AJ71" s="3">
        <v>0</v>
      </c>
      <c r="AK71" s="3">
        <v>-2.9239027033443601</v>
      </c>
      <c r="AL71" s="3">
        <v>-4.2418790565097897E-2</v>
      </c>
      <c r="AM71" s="3">
        <v>-0.33132039357058729</v>
      </c>
      <c r="AN71" s="3">
        <v>0.96367979581739405</v>
      </c>
      <c r="AO71" s="3">
        <v>-3.199374380486101</v>
      </c>
      <c r="AP71" s="3">
        <v>-7.7871866108061696E-2</v>
      </c>
      <c r="AQ71" s="3">
        <v>-0.48465819306429148</v>
      </c>
      <c r="AR71" s="3">
        <v>0.91678062402115623</v>
      </c>
      <c r="AS71" s="3">
        <v>-2.967208270159114</v>
      </c>
      <c r="AT71" s="3">
        <v>-9.2608889015200493E-2</v>
      </c>
      <c r="AU71" s="3">
        <v>-0.3651534498695721</v>
      </c>
      <c r="AV71" s="3">
        <v>0.91286678599311122</v>
      </c>
      <c r="AW71" s="3">
        <v>-3.135707651145351</v>
      </c>
      <c r="AX71" s="3">
        <v>-2.8857267685676851</v>
      </c>
      <c r="AY71" s="3">
        <v>-0.80845329628619189</v>
      </c>
      <c r="AZ71" s="3">
        <v>-0.51438658827995276</v>
      </c>
      <c r="BA71" s="16">
        <f t="shared" si="2"/>
        <v>-1.8360685760697952</v>
      </c>
      <c r="BB71" s="16">
        <f t="shared" si="3"/>
        <v>-0.64093247752922711</v>
      </c>
    </row>
    <row r="72" spans="1:54" x14ac:dyDescent="0.25">
      <c r="A72" s="2" t="s">
        <v>64</v>
      </c>
      <c r="B72" s="2" t="s">
        <v>65</v>
      </c>
      <c r="C72" s="3">
        <v>0.01</v>
      </c>
      <c r="D72" s="3">
        <v>0.1</v>
      </c>
      <c r="E72" s="2" t="s">
        <v>52</v>
      </c>
      <c r="F72" s="3">
        <v>1</v>
      </c>
      <c r="G72" s="2" t="s">
        <v>51</v>
      </c>
      <c r="H72" s="2" t="s">
        <v>67</v>
      </c>
      <c r="I72" s="2">
        <v>73</v>
      </c>
      <c r="J72" s="2">
        <v>3</v>
      </c>
      <c r="K72" s="2">
        <v>82</v>
      </c>
      <c r="L72" s="2">
        <v>156</v>
      </c>
      <c r="M72" s="2">
        <v>2.137</v>
      </c>
      <c r="N72" s="2">
        <v>2</v>
      </c>
      <c r="O72" s="2">
        <v>0</v>
      </c>
      <c r="P72" s="2">
        <v>10000</v>
      </c>
      <c r="Q72" s="2">
        <v>206</v>
      </c>
      <c r="R72" s="4">
        <v>4.8674411773681641</v>
      </c>
      <c r="S72" s="4">
        <v>5.6811412175496416</v>
      </c>
      <c r="T72" s="4"/>
      <c r="U72" s="4">
        <v>4.5043162504831953</v>
      </c>
      <c r="V72" s="4">
        <v>8.5675172805786133</v>
      </c>
      <c r="W72" s="4">
        <v>0.65012460947036743</v>
      </c>
      <c r="X72" s="5">
        <v>96.349224640000003</v>
      </c>
      <c r="Y72" s="5">
        <v>148.75665133800001</v>
      </c>
      <c r="Z72" s="3">
        <v>0.41377728684454451</v>
      </c>
      <c r="AA72" s="3">
        <v>0.32400000000000001</v>
      </c>
      <c r="AB72" s="3">
        <v>0.51100000000000001</v>
      </c>
      <c r="AC72" s="3">
        <v>1.2671755393967E-3</v>
      </c>
      <c r="AD72" s="3">
        <v>0.3587290346622467</v>
      </c>
      <c r="AE72" s="3">
        <v>1.26814460381865E-2</v>
      </c>
      <c r="AF72" s="2">
        <v>0</v>
      </c>
      <c r="AG72" s="3">
        <v>0.12314602732658381</v>
      </c>
      <c r="AH72" s="3">
        <v>10.64017963409424</v>
      </c>
      <c r="AI72" s="3">
        <v>0</v>
      </c>
      <c r="AJ72" s="3">
        <v>0</v>
      </c>
      <c r="AK72" s="3">
        <v>-2.9098355342803242</v>
      </c>
      <c r="AL72" s="3">
        <v>-1.7304510956007199E-2</v>
      </c>
      <c r="AM72" s="3">
        <v>0.1190204920172616</v>
      </c>
      <c r="AN72" s="3">
        <v>-1.370053559170558</v>
      </c>
      <c r="AO72" s="3">
        <v>-3.4012044601247662</v>
      </c>
      <c r="AP72" s="3">
        <v>-8.1581398916537706E-2</v>
      </c>
      <c r="AQ72" s="3">
        <v>-0.18609571573405831</v>
      </c>
      <c r="AR72" s="3">
        <v>-1.722834602399312</v>
      </c>
      <c r="AS72" s="3">
        <v>-2.813108641669416</v>
      </c>
      <c r="AT72" s="3">
        <v>-5.4045692111911202E-2</v>
      </c>
      <c r="AU72" s="3">
        <v>7.7053952182059501E-2</v>
      </c>
      <c r="AV72" s="3">
        <v>-1.2063397092393531</v>
      </c>
      <c r="AW72" s="3">
        <v>-2.195800301758521</v>
      </c>
      <c r="AX72" s="3">
        <v>-1.0559320463082991</v>
      </c>
      <c r="AY72" s="3">
        <v>-1.6876377453880001E-4</v>
      </c>
      <c r="AZ72" s="3">
        <v>-0.76439248354675371</v>
      </c>
      <c r="BA72" s="16">
        <f t="shared" si="2"/>
        <v>-1.0040733988470283</v>
      </c>
      <c r="BB72" s="16">
        <f t="shared" si="3"/>
        <v>-1.1305274483669103</v>
      </c>
    </row>
    <row r="73" spans="1:54" x14ac:dyDescent="0.25">
      <c r="A73" s="2" t="s">
        <v>64</v>
      </c>
      <c r="B73" s="2" t="s">
        <v>65</v>
      </c>
      <c r="C73" s="3">
        <v>0.01</v>
      </c>
      <c r="D73" s="3">
        <v>0.1</v>
      </c>
      <c r="E73" s="2" t="s">
        <v>52</v>
      </c>
      <c r="F73" s="3">
        <v>1</v>
      </c>
      <c r="G73" s="2" t="s">
        <v>51</v>
      </c>
      <c r="H73" s="2" t="s">
        <v>67</v>
      </c>
      <c r="I73" s="2">
        <v>73</v>
      </c>
      <c r="J73" s="2">
        <v>3</v>
      </c>
      <c r="K73" s="2">
        <v>82</v>
      </c>
      <c r="L73" s="2">
        <v>156</v>
      </c>
      <c r="M73" s="2">
        <v>2.137</v>
      </c>
      <c r="N73" s="2">
        <v>3</v>
      </c>
      <c r="O73" s="2">
        <v>0</v>
      </c>
      <c r="P73" s="2">
        <v>10000</v>
      </c>
      <c r="Q73" s="2">
        <v>136</v>
      </c>
      <c r="R73" s="4">
        <v>2.1070175170898442</v>
      </c>
      <c r="S73" s="4">
        <v>2.3582815329233799</v>
      </c>
      <c r="T73" s="4"/>
      <c r="U73" s="4">
        <v>4.3229215939839678</v>
      </c>
      <c r="V73" s="4">
        <v>8.5565166473388672</v>
      </c>
      <c r="W73" s="4">
        <v>0.41301998496055597</v>
      </c>
      <c r="X73" s="5">
        <v>92.939312635999954</v>
      </c>
      <c r="Y73" s="5">
        <v>131.63018717700021</v>
      </c>
      <c r="Z73" s="3">
        <v>0.41377728684454451</v>
      </c>
      <c r="AA73" s="3">
        <v>0.32400000000000001</v>
      </c>
      <c r="AB73" s="3">
        <v>0.51100000000000001</v>
      </c>
      <c r="AC73" s="3">
        <v>1.2002605944871E-3</v>
      </c>
      <c r="AD73" s="3">
        <v>0.31584206223487848</v>
      </c>
      <c r="AE73" s="3">
        <v>1.39869675040245E-2</v>
      </c>
      <c r="AF73" s="2">
        <v>0</v>
      </c>
      <c r="AG73" s="3">
        <v>0.26086938381195068</v>
      </c>
      <c r="AH73" s="3">
        <v>0.68685972690582275</v>
      </c>
      <c r="AI73" s="3">
        <v>0</v>
      </c>
      <c r="AJ73" s="3">
        <v>0</v>
      </c>
      <c r="AK73" s="3">
        <v>0.40483195257211069</v>
      </c>
      <c r="AL73" s="3">
        <v>0.73664214196580091</v>
      </c>
      <c r="AM73" s="3">
        <v>4.2624650153207003E-2</v>
      </c>
      <c r="AN73" s="3">
        <v>0.934206602578459</v>
      </c>
      <c r="AO73" s="3">
        <v>4.0259896451109002E-3</v>
      </c>
      <c r="AP73" s="3">
        <v>0.77185062695894446</v>
      </c>
      <c r="AQ73" s="3">
        <v>-0.22473777039434001</v>
      </c>
      <c r="AR73" s="3">
        <v>0.93041799851218765</v>
      </c>
      <c r="AS73" s="3">
        <v>0.54677203540654884</v>
      </c>
      <c r="AT73" s="3">
        <v>0.69043502372259358</v>
      </c>
      <c r="AU73" s="3">
        <v>4.1473041159306501E-2</v>
      </c>
      <c r="AV73" s="3">
        <v>0.95890859923911498</v>
      </c>
      <c r="AW73" s="3">
        <v>0.8186248767307055</v>
      </c>
      <c r="AX73" s="3">
        <v>0.90108045965085559</v>
      </c>
      <c r="AY73" s="3">
        <v>0.19533615492708539</v>
      </c>
      <c r="AZ73" s="3">
        <v>-1.296147734027755</v>
      </c>
      <c r="BA73" s="16">
        <f t="shared" si="2"/>
        <v>0.15472343932022287</v>
      </c>
      <c r="BB73" s="16">
        <f t="shared" si="3"/>
        <v>0.4864542409599204</v>
      </c>
    </row>
    <row r="74" spans="1:54" x14ac:dyDescent="0.25">
      <c r="A74" s="2" t="s">
        <v>64</v>
      </c>
      <c r="B74" s="2" t="s">
        <v>65</v>
      </c>
      <c r="C74" s="3">
        <v>0.01</v>
      </c>
      <c r="D74" s="3">
        <v>0.1</v>
      </c>
      <c r="E74" s="2" t="s">
        <v>54</v>
      </c>
      <c r="F74" s="3">
        <v>1</v>
      </c>
      <c r="G74" s="2" t="s">
        <v>49</v>
      </c>
      <c r="H74" s="2" t="s">
        <v>68</v>
      </c>
      <c r="I74" s="2">
        <v>171</v>
      </c>
      <c r="J74" s="2">
        <v>3</v>
      </c>
      <c r="K74" s="2">
        <v>180</v>
      </c>
      <c r="L74" s="2">
        <v>156</v>
      </c>
      <c r="M74" s="2">
        <v>0.91200000000000003</v>
      </c>
      <c r="N74" s="2">
        <v>2</v>
      </c>
      <c r="O74" s="2">
        <v>0</v>
      </c>
      <c r="P74" s="2">
        <v>10000</v>
      </c>
      <c r="Q74" s="2">
        <v>13</v>
      </c>
      <c r="R74" s="4">
        <v>1.433016180992126</v>
      </c>
      <c r="S74" s="4">
        <v>4.2954802513122559</v>
      </c>
      <c r="T74" s="4"/>
      <c r="U74" s="4">
        <v>4.3229339122772217</v>
      </c>
      <c r="V74" s="4">
        <v>8.5567541122436523</v>
      </c>
      <c r="W74" s="4">
        <v>0.23111604154109949</v>
      </c>
      <c r="X74" s="5">
        <v>101.76509370799999</v>
      </c>
      <c r="Y74" s="5">
        <v>131.4863301820001</v>
      </c>
      <c r="Z74" s="3">
        <v>0.41377728684454451</v>
      </c>
      <c r="AA74" s="3">
        <v>0.32400000000000001</v>
      </c>
      <c r="AB74" s="3">
        <v>0.51100000000000001</v>
      </c>
      <c r="AC74" s="3">
        <v>1.1507258750498E-3</v>
      </c>
      <c r="AD74" s="3">
        <v>0.42443448305129999</v>
      </c>
      <c r="AE74" s="3">
        <v>9.1481823474167997E-3</v>
      </c>
      <c r="AF74" s="2">
        <v>1</v>
      </c>
      <c r="AG74" s="3">
        <v>0.25189182162284851</v>
      </c>
      <c r="AH74" s="3">
        <v>-20.438043594360352</v>
      </c>
      <c r="AI74" s="3">
        <v>0</v>
      </c>
      <c r="AJ74" s="3">
        <v>0</v>
      </c>
      <c r="AK74" s="3">
        <v>-0.80113018500552524</v>
      </c>
      <c r="AL74" s="3">
        <v>0.23938027736149789</v>
      </c>
      <c r="AM74" s="3">
        <v>-0.45635475955567029</v>
      </c>
      <c r="AN74" s="3">
        <v>0.39897700608583919</v>
      </c>
      <c r="AO74" s="3">
        <v>-1.560153788034516</v>
      </c>
      <c r="AP74" s="3">
        <v>-0.36677931391653201</v>
      </c>
      <c r="AQ74" s="3">
        <v>-0.47497146011319308</v>
      </c>
      <c r="AR74" s="3">
        <v>7.6126633738085703E-2</v>
      </c>
      <c r="AS74" s="3">
        <v>0.34214299999716069</v>
      </c>
      <c r="AT74" s="3">
        <v>0.65497955255880203</v>
      </c>
      <c r="AU74" s="3">
        <v>-0.10038179198409281</v>
      </c>
      <c r="AV74" s="3">
        <v>0.88314720168632854</v>
      </c>
      <c r="AW74" s="3">
        <v>0.80202774734616655</v>
      </c>
      <c r="AX74" s="3">
        <v>0.89814736191178379</v>
      </c>
      <c r="AY74" s="3">
        <v>0.13435564869749189</v>
      </c>
      <c r="AZ74" s="3">
        <v>8.3905808069285104E-2</v>
      </c>
      <c r="BA74" s="16">
        <f t="shared" ref="BA74:BA97" si="4">AVERAGE(AW74:AZ74)</f>
        <v>0.47960914150618189</v>
      </c>
      <c r="BB74" s="16">
        <f t="shared" ref="BB74:BB97" si="5">AVERAGE(AK74:AV74)</f>
        <v>-9.708480226515126E-2</v>
      </c>
    </row>
    <row r="75" spans="1:54" x14ac:dyDescent="0.25">
      <c r="A75" s="2" t="s">
        <v>64</v>
      </c>
      <c r="B75" s="2" t="s">
        <v>65</v>
      </c>
      <c r="C75" s="3">
        <v>0.01</v>
      </c>
      <c r="D75" s="3">
        <v>0.1</v>
      </c>
      <c r="E75" s="2" t="s">
        <v>54</v>
      </c>
      <c r="F75" s="3">
        <v>1</v>
      </c>
      <c r="G75" s="2" t="s">
        <v>49</v>
      </c>
      <c r="H75" s="2" t="s">
        <v>68</v>
      </c>
      <c r="I75" s="2">
        <v>171</v>
      </c>
      <c r="J75" s="2">
        <v>3</v>
      </c>
      <c r="K75" s="2">
        <v>180</v>
      </c>
      <c r="L75" s="2">
        <v>156</v>
      </c>
      <c r="M75" s="2">
        <v>0.91200000000000003</v>
      </c>
      <c r="N75" s="2">
        <v>3</v>
      </c>
      <c r="O75" s="2">
        <v>0</v>
      </c>
      <c r="P75" s="2">
        <v>10000</v>
      </c>
      <c r="Q75" s="2">
        <v>2</v>
      </c>
      <c r="R75" s="4">
        <v>4.1465473175048828</v>
      </c>
      <c r="S75" s="4">
        <v>7.9710837999979658</v>
      </c>
      <c r="T75" s="4"/>
      <c r="U75" s="4">
        <v>4.3229204813639326</v>
      </c>
      <c r="V75" s="4">
        <v>8.5565080642700195</v>
      </c>
      <c r="W75" s="4">
        <v>4.2660955339670098E-2</v>
      </c>
      <c r="X75" s="5">
        <v>96.594384459000139</v>
      </c>
      <c r="Y75" s="5">
        <v>133.35168735699969</v>
      </c>
      <c r="Z75" s="3">
        <v>0.41377728684454451</v>
      </c>
      <c r="AA75" s="3">
        <v>0.32400000000000001</v>
      </c>
      <c r="AB75" s="3">
        <v>0.51100000000000001</v>
      </c>
      <c r="AC75" s="3">
        <v>1.1460818350315001E-3</v>
      </c>
      <c r="AD75" s="3">
        <v>0.35624229907989502</v>
      </c>
      <c r="AE75" s="3">
        <v>7.3735974729060997E-3</v>
      </c>
      <c r="AF75" s="2">
        <v>1</v>
      </c>
      <c r="AG75" s="3">
        <v>0.1298779100179672</v>
      </c>
      <c r="AH75" s="3">
        <v>-61.789272308349609</v>
      </c>
      <c r="AI75" s="3">
        <v>0</v>
      </c>
      <c r="AJ75" s="3">
        <v>0</v>
      </c>
      <c r="AK75" s="3">
        <v>-1.7913451801165741</v>
      </c>
      <c r="AL75" s="3">
        <v>-0.88034519370947262</v>
      </c>
      <c r="AM75" s="3">
        <v>-0.58110384038519092</v>
      </c>
      <c r="AN75" s="3">
        <v>-0.48642023441066651</v>
      </c>
      <c r="AO75" s="3">
        <v>-2.7243456058831339</v>
      </c>
      <c r="AP75" s="3">
        <v>-2.235677331001324</v>
      </c>
      <c r="AQ75" s="3">
        <v>-0.47497146011319308</v>
      </c>
      <c r="AR75" s="3">
        <v>-1.164061880348233</v>
      </c>
      <c r="AS75" s="3">
        <v>-1.528628689098432</v>
      </c>
      <c r="AT75" s="3">
        <v>-1.39669570527135</v>
      </c>
      <c r="AU75" s="3">
        <v>-0.86823752716140956</v>
      </c>
      <c r="AV75" s="3">
        <v>-0.2226166928065727</v>
      </c>
      <c r="AW75" s="3">
        <v>-0.96176654521835758</v>
      </c>
      <c r="AX75" s="3">
        <v>-0.52883824879679819</v>
      </c>
      <c r="AY75" s="3">
        <v>-0.81892784676550501</v>
      </c>
      <c r="AZ75" s="3">
        <v>0.27805536917492552</v>
      </c>
      <c r="BA75" s="16">
        <f t="shared" si="4"/>
        <v>-0.50786931790143375</v>
      </c>
      <c r="BB75" s="16">
        <f t="shared" si="5"/>
        <v>-1.1962041116921296</v>
      </c>
    </row>
    <row r="76" spans="1:54" x14ac:dyDescent="0.25">
      <c r="A76" s="2" t="s">
        <v>64</v>
      </c>
      <c r="B76" s="2" t="s">
        <v>65</v>
      </c>
      <c r="C76" s="3">
        <v>0.01</v>
      </c>
      <c r="D76" s="3">
        <v>0.1</v>
      </c>
      <c r="E76" s="2" t="s">
        <v>54</v>
      </c>
      <c r="F76" s="3">
        <v>1</v>
      </c>
      <c r="G76" s="2" t="s">
        <v>51</v>
      </c>
      <c r="H76" s="2" t="s">
        <v>68</v>
      </c>
      <c r="I76" s="2">
        <v>171</v>
      </c>
      <c r="J76" s="2">
        <v>3</v>
      </c>
      <c r="K76" s="2">
        <v>180</v>
      </c>
      <c r="L76" s="2">
        <v>156</v>
      </c>
      <c r="M76" s="2">
        <v>0.91200000000000003</v>
      </c>
      <c r="N76" s="2">
        <v>2</v>
      </c>
      <c r="O76" s="2">
        <v>0</v>
      </c>
      <c r="P76" s="2">
        <v>10000</v>
      </c>
      <c r="Q76" s="2">
        <v>375</v>
      </c>
      <c r="R76" s="4">
        <v>7.7529106140136719</v>
      </c>
      <c r="S76" s="4">
        <v>5.3968512217203779</v>
      </c>
      <c r="T76" s="4"/>
      <c r="U76" s="4">
        <v>4.3229332764943438</v>
      </c>
      <c r="V76" s="4">
        <v>8.5567550659179688</v>
      </c>
      <c r="W76" s="4">
        <v>0.65100193023681641</v>
      </c>
      <c r="X76" s="5">
        <v>103.318035235</v>
      </c>
      <c r="Y76" s="5">
        <v>128.6380864449998</v>
      </c>
      <c r="Z76" s="3">
        <v>0.41377728684454451</v>
      </c>
      <c r="AA76" s="3">
        <v>0.32400000000000001</v>
      </c>
      <c r="AB76" s="3">
        <v>0.51100000000000001</v>
      </c>
      <c r="AC76" s="3">
        <v>9.672867017798E-4</v>
      </c>
      <c r="AD76" s="3">
        <v>0.2436335682868957</v>
      </c>
      <c r="AE76" s="3">
        <v>0.1890572309494018</v>
      </c>
      <c r="AF76" s="2">
        <v>0</v>
      </c>
      <c r="AG76" s="3">
        <v>0.35616356134414667</v>
      </c>
      <c r="AH76" s="3">
        <v>10.91778087615967</v>
      </c>
      <c r="AI76" s="3">
        <v>0</v>
      </c>
      <c r="AJ76" s="3">
        <v>0</v>
      </c>
      <c r="AK76" s="3">
        <v>-2.94902924285809</v>
      </c>
      <c r="AL76" s="3">
        <v>-0.1341722745900446</v>
      </c>
      <c r="AM76" s="3">
        <v>-0.58110384038519092</v>
      </c>
      <c r="AN76" s="3">
        <v>0.94773212929273842</v>
      </c>
      <c r="AO76" s="3">
        <v>-3.1168789028309321</v>
      </c>
      <c r="AP76" s="3">
        <v>-0.1240309400678121</v>
      </c>
      <c r="AQ76" s="3">
        <v>-0.47497146011319308</v>
      </c>
      <c r="AR76" s="3">
        <v>0.94768090744934463</v>
      </c>
      <c r="AS76" s="3">
        <v>-2.931025167604977</v>
      </c>
      <c r="AT76" s="3">
        <v>-0.17556021882341</v>
      </c>
      <c r="AU76" s="3">
        <v>-0.87145108871476706</v>
      </c>
      <c r="AV76" s="3">
        <v>0.93999539326299475</v>
      </c>
      <c r="AW76" s="3">
        <v>-3.1016475282774691</v>
      </c>
      <c r="AX76" s="3">
        <v>-2.966060564139247</v>
      </c>
      <c r="AY76" s="3">
        <v>-1.1073897722428609</v>
      </c>
      <c r="AZ76" s="3">
        <v>-0.2373754039694482</v>
      </c>
      <c r="BA76" s="16">
        <f t="shared" si="4"/>
        <v>-1.8531183171572563</v>
      </c>
      <c r="BB76" s="16">
        <f t="shared" si="5"/>
        <v>-0.71023455883194497</v>
      </c>
    </row>
    <row r="77" spans="1:54" x14ac:dyDescent="0.25">
      <c r="A77" s="2" t="s">
        <v>64</v>
      </c>
      <c r="B77" s="2" t="s">
        <v>65</v>
      </c>
      <c r="C77" s="3">
        <v>0.01</v>
      </c>
      <c r="D77" s="3">
        <v>0.1</v>
      </c>
      <c r="E77" s="2" t="s">
        <v>54</v>
      </c>
      <c r="F77" s="3">
        <v>1</v>
      </c>
      <c r="G77" s="2" t="s">
        <v>51</v>
      </c>
      <c r="H77" s="2" t="s">
        <v>68</v>
      </c>
      <c r="I77" s="2">
        <v>171</v>
      </c>
      <c r="J77" s="2">
        <v>3</v>
      </c>
      <c r="K77" s="2">
        <v>180</v>
      </c>
      <c r="L77" s="2">
        <v>156</v>
      </c>
      <c r="M77" s="2">
        <v>0.91200000000000003</v>
      </c>
      <c r="N77" s="2">
        <v>3</v>
      </c>
      <c r="O77" s="2">
        <v>0</v>
      </c>
      <c r="P77" s="2">
        <v>10000</v>
      </c>
      <c r="Q77" s="2">
        <v>90</v>
      </c>
      <c r="R77" s="4">
        <v>8.0381984710693359</v>
      </c>
      <c r="S77" s="4">
        <v>5.4197649955749512</v>
      </c>
      <c r="T77" s="4"/>
      <c r="U77" s="4">
        <v>4.3229209582010908</v>
      </c>
      <c r="V77" s="4">
        <v>8.5565090179443359</v>
      </c>
      <c r="W77" s="4">
        <v>0.6707426905632019</v>
      </c>
      <c r="X77" s="5">
        <v>99.100615442999924</v>
      </c>
      <c r="Y77" s="5">
        <v>122.4431237499998</v>
      </c>
      <c r="Z77" s="3">
        <v>0.41377728684454451</v>
      </c>
      <c r="AA77" s="3">
        <v>0.32400000000000001</v>
      </c>
      <c r="AB77" s="3">
        <v>0.51100000000000001</v>
      </c>
      <c r="AC77" s="3">
        <v>5.7333655422550005E-4</v>
      </c>
      <c r="AD77" s="3">
        <v>0.26562100648879999</v>
      </c>
      <c r="AE77" s="3">
        <v>0.1156286373734474</v>
      </c>
      <c r="AF77" s="2">
        <v>0</v>
      </c>
      <c r="AG77" s="3">
        <v>0.37340521812438959</v>
      </c>
      <c r="AH77" s="3">
        <v>12.017661094665529</v>
      </c>
      <c r="AI77" s="3">
        <v>0</v>
      </c>
      <c r="AJ77" s="3">
        <v>0</v>
      </c>
      <c r="AK77" s="3">
        <v>-2.7586043565803311</v>
      </c>
      <c r="AL77" s="3">
        <v>-0.15079066498731489</v>
      </c>
      <c r="AM77" s="3">
        <v>-0.58110384038519092</v>
      </c>
      <c r="AN77" s="3">
        <v>0.90292819957667159</v>
      </c>
      <c r="AO77" s="3">
        <v>-2.8308798491550848</v>
      </c>
      <c r="AP77" s="3">
        <v>-0.21524060418816471</v>
      </c>
      <c r="AQ77" s="3">
        <v>-0.47497146011319308</v>
      </c>
      <c r="AR77" s="3">
        <v>0.91800855923150482</v>
      </c>
      <c r="AS77" s="3">
        <v>-2.6950559608021161</v>
      </c>
      <c r="AT77" s="3">
        <v>-0.22731277811663481</v>
      </c>
      <c r="AU77" s="3">
        <v>-0.87145108871476706</v>
      </c>
      <c r="AV77" s="3">
        <v>0.94370473495298401</v>
      </c>
      <c r="AW77" s="3">
        <v>-3.0984236094559452</v>
      </c>
      <c r="AX77" s="3">
        <v>-2.966060564139247</v>
      </c>
      <c r="AY77" s="3">
        <v>-1.1073897722428609</v>
      </c>
      <c r="AZ77" s="3">
        <v>-0.77337470166894495</v>
      </c>
      <c r="BA77" s="16">
        <f t="shared" si="4"/>
        <v>-1.9863121618767494</v>
      </c>
      <c r="BB77" s="16">
        <f t="shared" si="5"/>
        <v>-0.67006409244013643</v>
      </c>
    </row>
    <row r="78" spans="1:54" x14ac:dyDescent="0.25">
      <c r="A78" s="2" t="s">
        <v>64</v>
      </c>
      <c r="B78" s="2" t="s">
        <v>65</v>
      </c>
      <c r="C78" s="3">
        <v>0.01</v>
      </c>
      <c r="D78" s="3">
        <v>0.1</v>
      </c>
      <c r="E78" s="2" t="s">
        <v>56</v>
      </c>
      <c r="F78" s="3">
        <v>1</v>
      </c>
      <c r="G78" s="2" t="s">
        <v>49</v>
      </c>
      <c r="H78" s="2" t="s">
        <v>69</v>
      </c>
      <c r="I78" s="2">
        <v>227</v>
      </c>
      <c r="J78" s="2">
        <v>3</v>
      </c>
      <c r="K78" s="2">
        <v>236</v>
      </c>
      <c r="L78" s="2">
        <v>156</v>
      </c>
      <c r="M78" s="2">
        <v>0.68700000000000006</v>
      </c>
      <c r="N78" s="2">
        <v>2</v>
      </c>
      <c r="O78" s="2">
        <v>0</v>
      </c>
      <c r="P78" s="2">
        <v>10000</v>
      </c>
      <c r="Q78" s="2">
        <v>76</v>
      </c>
      <c r="R78" s="4">
        <v>8.1736059188842773</v>
      </c>
      <c r="S78" s="4">
        <v>5.391186873118083</v>
      </c>
      <c r="T78" s="4"/>
      <c r="U78" s="4">
        <v>4.3229251702626543</v>
      </c>
      <c r="V78" s="4">
        <v>8.5567464828491211</v>
      </c>
      <c r="W78" s="4">
        <v>0.63413411378860474</v>
      </c>
      <c r="X78" s="5">
        <v>112.04111885499989</v>
      </c>
      <c r="Y78" s="5">
        <v>135.05788642200011</v>
      </c>
      <c r="Z78" s="3">
        <v>0.41377728684454451</v>
      </c>
      <c r="AA78" s="3">
        <v>0.32400000000000001</v>
      </c>
      <c r="AB78" s="3">
        <v>0.51100000000000001</v>
      </c>
      <c r="AC78" s="3">
        <v>2.259262546431E-4</v>
      </c>
      <c r="AD78" s="3">
        <v>0.1976798325777053</v>
      </c>
      <c r="AE78" s="3">
        <v>8.4738865494728005E-2</v>
      </c>
      <c r="AF78" s="2">
        <v>0</v>
      </c>
      <c r="AG78" s="3">
        <v>0.38930124044418329</v>
      </c>
      <c r="AH78" s="3">
        <v>12.505118370056151</v>
      </c>
      <c r="AI78" s="3">
        <v>0</v>
      </c>
      <c r="AJ78" s="3">
        <v>0</v>
      </c>
      <c r="AK78" s="3">
        <v>-2.4451991390318519</v>
      </c>
      <c r="AL78" s="3">
        <v>-0.16246073555520901</v>
      </c>
      <c r="AM78" s="3">
        <v>-0.58110384038519092</v>
      </c>
      <c r="AN78" s="3">
        <v>0.96138574364161256</v>
      </c>
      <c r="AO78" s="3">
        <v>-2.600614389243797</v>
      </c>
      <c r="AP78" s="3">
        <v>-0.26365284890058421</v>
      </c>
      <c r="AQ78" s="3">
        <v>-0.47497146011319308</v>
      </c>
      <c r="AR78" s="3">
        <v>0.91781669116339704</v>
      </c>
      <c r="AS78" s="3">
        <v>-2.5486172091510011</v>
      </c>
      <c r="AT78" s="3">
        <v>-0.26666517441228538</v>
      </c>
      <c r="AU78" s="3">
        <v>-0.87145108871476706</v>
      </c>
      <c r="AV78" s="3">
        <v>0.93055739789778025</v>
      </c>
      <c r="AW78" s="3">
        <v>-3.095498811144521</v>
      </c>
      <c r="AX78" s="3">
        <v>-2.966060564139247</v>
      </c>
      <c r="AY78" s="3">
        <v>-1.1073897722428609</v>
      </c>
      <c r="AZ78" s="3">
        <v>-1.028588212998395</v>
      </c>
      <c r="BA78" s="16">
        <f t="shared" si="4"/>
        <v>-2.0493843401312559</v>
      </c>
      <c r="BB78" s="16">
        <f t="shared" si="5"/>
        <v>-0.61708133773375751</v>
      </c>
    </row>
    <row r="79" spans="1:54" x14ac:dyDescent="0.25">
      <c r="A79" s="2" t="s">
        <v>64</v>
      </c>
      <c r="B79" s="2" t="s">
        <v>65</v>
      </c>
      <c r="C79" s="3">
        <v>0.01</v>
      </c>
      <c r="D79" s="3">
        <v>0.1</v>
      </c>
      <c r="E79" s="2" t="s">
        <v>56</v>
      </c>
      <c r="F79" s="3">
        <v>1</v>
      </c>
      <c r="G79" s="2" t="s">
        <v>49</v>
      </c>
      <c r="H79" s="2" t="s">
        <v>69</v>
      </c>
      <c r="I79" s="2">
        <v>227</v>
      </c>
      <c r="J79" s="2">
        <v>3</v>
      </c>
      <c r="K79" s="2">
        <v>236</v>
      </c>
      <c r="L79" s="2">
        <v>156</v>
      </c>
      <c r="M79" s="2">
        <v>0.68700000000000006</v>
      </c>
      <c r="N79" s="2">
        <v>3</v>
      </c>
      <c r="O79" s="2">
        <v>0</v>
      </c>
      <c r="P79" s="2">
        <v>10000</v>
      </c>
      <c r="Q79" s="2">
        <v>1</v>
      </c>
      <c r="R79" s="4">
        <v>7.5768260955810547</v>
      </c>
      <c r="S79" s="4">
        <v>9.8238736788431797</v>
      </c>
      <c r="T79" s="4"/>
      <c r="U79" s="4">
        <v>4.3229213555653887</v>
      </c>
      <c r="V79" s="4">
        <v>8.5565128326416016</v>
      </c>
      <c r="W79" s="4">
        <v>2.15068832039833E-2</v>
      </c>
      <c r="X79" s="5">
        <v>102.6865518890002</v>
      </c>
      <c r="Y79" s="5">
        <v>127.480827766</v>
      </c>
      <c r="Z79" s="3">
        <v>0.41377728684454451</v>
      </c>
      <c r="AA79" s="3">
        <v>0.32400000000000001</v>
      </c>
      <c r="AB79" s="3">
        <v>0.51100000000000001</v>
      </c>
      <c r="AC79" s="3">
        <v>1.1326258536428001E-3</v>
      </c>
      <c r="AD79" s="3">
        <v>0.34608292579650879</v>
      </c>
      <c r="AE79" s="3">
        <v>7.1053481660782996E-3</v>
      </c>
      <c r="AF79" s="2">
        <v>0</v>
      </c>
      <c r="AG79" s="3">
        <v>9.30146723985672E-2</v>
      </c>
      <c r="AH79" s="3">
        <v>22.388996124267571</v>
      </c>
      <c r="AI79" s="3">
        <v>0</v>
      </c>
      <c r="AJ79" s="3">
        <v>0</v>
      </c>
      <c r="AK79" s="3">
        <v>-2.6410380809073408</v>
      </c>
      <c r="AL79" s="3">
        <v>-1.5925127545354381</v>
      </c>
      <c r="AM79" s="3">
        <v>-0.58110384038519092</v>
      </c>
      <c r="AN79" s="3">
        <v>-1.2602109750855379</v>
      </c>
      <c r="AO79" s="3">
        <v>-3.192176679347094</v>
      </c>
      <c r="AP79" s="3">
        <v>-2.8579751949764209</v>
      </c>
      <c r="AQ79" s="3">
        <v>-0.47497146011319308</v>
      </c>
      <c r="AR79" s="3">
        <v>-1.5791804872430599</v>
      </c>
      <c r="AS79" s="3">
        <v>-2.8475444637784291</v>
      </c>
      <c r="AT79" s="3">
        <v>-2.7224143520740318</v>
      </c>
      <c r="AU79" s="3">
        <v>-0.87145108871476706</v>
      </c>
      <c r="AV79" s="3">
        <v>-1.3602203458444531</v>
      </c>
      <c r="AW79" s="3">
        <v>-2.4301678810342722</v>
      </c>
      <c r="AX79" s="3">
        <v>-2.4389414419583688</v>
      </c>
      <c r="AY79" s="3">
        <v>-1.1073897722428609</v>
      </c>
      <c r="AZ79" s="3">
        <v>-1.272319167188386</v>
      </c>
      <c r="BA79" s="16">
        <f t="shared" si="4"/>
        <v>-1.812204565605972</v>
      </c>
      <c r="BB79" s="16">
        <f t="shared" si="5"/>
        <v>-1.8317333102504134</v>
      </c>
    </row>
    <row r="80" spans="1:54" x14ac:dyDescent="0.25">
      <c r="A80" s="2" t="s">
        <v>64</v>
      </c>
      <c r="B80" s="2" t="s">
        <v>65</v>
      </c>
      <c r="C80" s="3">
        <v>0.01</v>
      </c>
      <c r="D80" s="3">
        <v>0.1</v>
      </c>
      <c r="E80" s="2" t="s">
        <v>56</v>
      </c>
      <c r="F80" s="3">
        <v>1</v>
      </c>
      <c r="G80" s="2" t="s">
        <v>51</v>
      </c>
      <c r="H80" s="2" t="s">
        <v>69</v>
      </c>
      <c r="I80" s="2">
        <v>227</v>
      </c>
      <c r="J80" s="2">
        <v>3</v>
      </c>
      <c r="K80" s="2">
        <v>236</v>
      </c>
      <c r="L80" s="2">
        <v>156</v>
      </c>
      <c r="M80" s="2">
        <v>0.68700000000000006</v>
      </c>
      <c r="N80" s="2">
        <v>2</v>
      </c>
      <c r="O80" s="2">
        <v>0</v>
      </c>
      <c r="P80" s="2">
        <v>10000</v>
      </c>
      <c r="Q80" s="2">
        <v>501</v>
      </c>
      <c r="R80" s="4">
        <v>7.504204273223877</v>
      </c>
      <c r="S80" s="4">
        <v>5.4154413541158037</v>
      </c>
      <c r="T80" s="4"/>
      <c r="U80" s="4">
        <v>4.3229480584462481</v>
      </c>
      <c r="V80" s="4">
        <v>8.5567569732666016</v>
      </c>
      <c r="W80" s="4">
        <v>0.62209421396255493</v>
      </c>
      <c r="X80" s="5">
        <v>110.640592236</v>
      </c>
      <c r="Y80" s="5">
        <v>136.77485094899981</v>
      </c>
      <c r="Z80" s="3">
        <v>0.41377728684454451</v>
      </c>
      <c r="AA80" s="3">
        <v>0.32400000000000001</v>
      </c>
      <c r="AB80" s="3">
        <v>0.51100000000000001</v>
      </c>
      <c r="AC80" s="3">
        <v>9.86382481642E-4</v>
      </c>
      <c r="AD80" s="3">
        <v>0.31243067979812622</v>
      </c>
      <c r="AE80" s="3">
        <v>0.2663107812404632</v>
      </c>
      <c r="AF80" s="2">
        <v>0</v>
      </c>
      <c r="AG80" s="3">
        <v>0.27788451313972468</v>
      </c>
      <c r="AH80" s="3">
        <v>10.84482574462891</v>
      </c>
      <c r="AI80" s="3">
        <v>0</v>
      </c>
      <c r="AJ80" s="3">
        <v>0</v>
      </c>
      <c r="AK80" s="3">
        <v>-3.0259815492880939</v>
      </c>
      <c r="AL80" s="3">
        <v>-0.11603010456585559</v>
      </c>
      <c r="AM80" s="3">
        <v>-0.58110384038519092</v>
      </c>
      <c r="AN80" s="3">
        <v>0.96330690304825839</v>
      </c>
      <c r="AO80" s="3">
        <v>-3.2583231658031222</v>
      </c>
      <c r="AP80" s="3">
        <v>-0.1188644328593837</v>
      </c>
      <c r="AQ80" s="3">
        <v>-0.47497146011319308</v>
      </c>
      <c r="AR80" s="3">
        <v>0.94049692309509836</v>
      </c>
      <c r="AS80" s="3">
        <v>-3.0478616992873269</v>
      </c>
      <c r="AT80" s="3">
        <v>-0.16921742266434539</v>
      </c>
      <c r="AU80" s="3">
        <v>-0.87145108871476706</v>
      </c>
      <c r="AV80" s="3">
        <v>0.94176364418282621</v>
      </c>
      <c r="AW80" s="3">
        <v>-3.1018013470759369</v>
      </c>
      <c r="AX80" s="3">
        <v>-2.966060564139247</v>
      </c>
      <c r="AY80" s="3">
        <v>-1.1073897722428609</v>
      </c>
      <c r="AZ80" s="3">
        <v>0.228351312750604</v>
      </c>
      <c r="BA80" s="16">
        <f t="shared" si="4"/>
        <v>-1.7367250926768603</v>
      </c>
      <c r="BB80" s="16">
        <f t="shared" si="5"/>
        <v>-0.73485310777959123</v>
      </c>
    </row>
    <row r="81" spans="1:54" x14ac:dyDescent="0.25">
      <c r="A81" s="2" t="s">
        <v>64</v>
      </c>
      <c r="B81" s="2" t="s">
        <v>65</v>
      </c>
      <c r="C81" s="3">
        <v>0.01</v>
      </c>
      <c r="D81" s="3">
        <v>0.1</v>
      </c>
      <c r="E81" s="2" t="s">
        <v>56</v>
      </c>
      <c r="F81" s="3">
        <v>1</v>
      </c>
      <c r="G81" s="2" t="s">
        <v>51</v>
      </c>
      <c r="H81" s="2" t="s">
        <v>69</v>
      </c>
      <c r="I81" s="2">
        <v>227</v>
      </c>
      <c r="J81" s="2">
        <v>3</v>
      </c>
      <c r="K81" s="2">
        <v>236</v>
      </c>
      <c r="L81" s="2">
        <v>156</v>
      </c>
      <c r="M81" s="2">
        <v>0.68700000000000006</v>
      </c>
      <c r="N81" s="2">
        <v>3</v>
      </c>
      <c r="O81" s="2">
        <v>0</v>
      </c>
      <c r="P81" s="2">
        <v>10000</v>
      </c>
      <c r="Q81" s="2">
        <v>276</v>
      </c>
      <c r="R81" s="4">
        <v>8.0331401824951172</v>
      </c>
      <c r="S81" s="4">
        <v>5.3554676373799639</v>
      </c>
      <c r="T81" s="4"/>
      <c r="U81" s="4">
        <v>4.3229266007741289</v>
      </c>
      <c r="V81" s="4">
        <v>8.5565185546875</v>
      </c>
      <c r="W81" s="4">
        <v>0.68277883529663086</v>
      </c>
      <c r="X81" s="5">
        <v>100.8962112640002</v>
      </c>
      <c r="Y81" s="5">
        <v>127.66699925100011</v>
      </c>
      <c r="Z81" s="3">
        <v>0.41377728684454451</v>
      </c>
      <c r="AA81" s="3">
        <v>0.32400000000000001</v>
      </c>
      <c r="AB81" s="3">
        <v>0.51100000000000001</v>
      </c>
      <c r="AC81" s="3">
        <v>7.348585058934E-4</v>
      </c>
      <c r="AD81" s="3">
        <v>0.31624764204025269</v>
      </c>
      <c r="AE81" s="3">
        <v>0.1177401766180992</v>
      </c>
      <c r="AF81" s="2">
        <v>0</v>
      </c>
      <c r="AG81" s="3">
        <v>0.36623731255531311</v>
      </c>
      <c r="AH81" s="3">
        <v>11.0439510345459</v>
      </c>
      <c r="AI81" s="3">
        <v>0</v>
      </c>
      <c r="AJ81" s="3">
        <v>0</v>
      </c>
      <c r="AK81" s="3">
        <v>-2.6339555090111779</v>
      </c>
      <c r="AL81" s="3">
        <v>-0.1333790923584319</v>
      </c>
      <c r="AM81" s="3">
        <v>-0.58110384038519092</v>
      </c>
      <c r="AN81" s="3">
        <v>0.95215651226425979</v>
      </c>
      <c r="AO81" s="3">
        <v>-3.0141119216550778</v>
      </c>
      <c r="AP81" s="3">
        <v>-0.1332254049197214</v>
      </c>
      <c r="AQ81" s="3">
        <v>-0.47497146011319308</v>
      </c>
      <c r="AR81" s="3">
        <v>0.8514576057754013</v>
      </c>
      <c r="AS81" s="3">
        <v>-2.6756051262813272</v>
      </c>
      <c r="AT81" s="3">
        <v>-0.1796622729032322</v>
      </c>
      <c r="AU81" s="3">
        <v>-0.87145108871476706</v>
      </c>
      <c r="AV81" s="3">
        <v>0.92949212562700845</v>
      </c>
      <c r="AW81" s="3">
        <v>-3.099757188061973</v>
      </c>
      <c r="AX81" s="3">
        <v>-2.966060564139247</v>
      </c>
      <c r="AY81" s="3">
        <v>-1.1073897722428609</v>
      </c>
      <c r="AZ81" s="3">
        <v>-0.76312946643815405</v>
      </c>
      <c r="BA81" s="16">
        <f t="shared" si="4"/>
        <v>-1.9840842477205587</v>
      </c>
      <c r="BB81" s="16">
        <f t="shared" si="5"/>
        <v>-0.66369662272295427</v>
      </c>
    </row>
    <row r="82" spans="1:54" x14ac:dyDescent="0.25">
      <c r="A82" s="2" t="s">
        <v>64</v>
      </c>
      <c r="B82" s="2" t="s">
        <v>65</v>
      </c>
      <c r="C82" s="3">
        <v>0.01</v>
      </c>
      <c r="D82" s="3">
        <v>0.3</v>
      </c>
      <c r="E82" s="2" t="s">
        <v>48</v>
      </c>
      <c r="F82" s="3">
        <v>1</v>
      </c>
      <c r="G82" s="2" t="s">
        <v>49</v>
      </c>
      <c r="H82" s="2" t="s">
        <v>66</v>
      </c>
      <c r="I82" s="2">
        <v>43</v>
      </c>
      <c r="J82" s="2">
        <v>3</v>
      </c>
      <c r="K82" s="2">
        <v>52</v>
      </c>
      <c r="L82" s="2">
        <v>156</v>
      </c>
      <c r="M82" s="2">
        <v>3.6280000000000001</v>
      </c>
      <c r="N82" s="2">
        <v>2</v>
      </c>
      <c r="O82" s="2">
        <v>0</v>
      </c>
      <c r="P82" s="2">
        <v>10000</v>
      </c>
      <c r="Q82" s="2">
        <v>116</v>
      </c>
      <c r="R82" s="4">
        <v>7.0178956985473633</v>
      </c>
      <c r="S82" s="4">
        <v>5.0303250948588056</v>
      </c>
      <c r="T82" s="4"/>
      <c r="U82" s="4">
        <v>4.452341715494792</v>
      </c>
      <c r="V82" s="4">
        <v>8.417414665222168</v>
      </c>
      <c r="W82" s="4">
        <v>0.6450766921043396</v>
      </c>
      <c r="X82" s="5">
        <v>86.24977748099991</v>
      </c>
      <c r="Y82" s="5">
        <v>237.62405597899951</v>
      </c>
      <c r="Z82" s="3">
        <v>0.41377728684454451</v>
      </c>
      <c r="AA82" s="3">
        <v>0.32400000000000001</v>
      </c>
      <c r="AB82" s="3">
        <v>0.51100000000000001</v>
      </c>
      <c r="AC82" s="3">
        <v>1.7707666847854E-3</v>
      </c>
      <c r="AD82" s="3">
        <v>6.7852579057216603E-2</v>
      </c>
      <c r="AE82" s="3">
        <v>0.28734135627746582</v>
      </c>
      <c r="AF82" s="2">
        <v>0</v>
      </c>
      <c r="AG82" s="3">
        <v>0.22879147529602051</v>
      </c>
      <c r="AH82" s="3">
        <v>10.314682006835939</v>
      </c>
      <c r="AI82" s="3">
        <v>0</v>
      </c>
      <c r="AJ82" s="3">
        <v>0</v>
      </c>
      <c r="AK82" s="3">
        <v>-3.0525399761087231</v>
      </c>
      <c r="AL82" s="3">
        <v>-7.6288032397641301E-2</v>
      </c>
      <c r="AM82" s="3">
        <v>-0.33467066527614658</v>
      </c>
      <c r="AN82" s="3">
        <v>0.96675193338865439</v>
      </c>
      <c r="AO82" s="3">
        <v>-3.29289914731357</v>
      </c>
      <c r="AP82" s="3">
        <v>-8.2410332288808993E-2</v>
      </c>
      <c r="AQ82" s="3">
        <v>-0.43612552850457642</v>
      </c>
      <c r="AR82" s="3">
        <v>0.92075986501586315</v>
      </c>
      <c r="AS82" s="3">
        <v>-3.0619842920198481</v>
      </c>
      <c r="AT82" s="3">
        <v>-0.10775319524555591</v>
      </c>
      <c r="AU82" s="3">
        <v>-0.42781890866605771</v>
      </c>
      <c r="AV82" s="3">
        <v>0.92790460743097836</v>
      </c>
      <c r="AW82" s="3">
        <v>-3.1079303649618488</v>
      </c>
      <c r="AX82" s="3">
        <v>-2.8531291721756258</v>
      </c>
      <c r="AY82" s="3">
        <v>-0.72627328517817347</v>
      </c>
      <c r="AZ82" s="3">
        <v>0.28929698646185231</v>
      </c>
      <c r="BA82" s="16">
        <f t="shared" si="4"/>
        <v>-1.599508958963449</v>
      </c>
      <c r="BB82" s="16">
        <f t="shared" si="5"/>
        <v>-0.67142280599878612</v>
      </c>
    </row>
    <row r="83" spans="1:54" x14ac:dyDescent="0.25">
      <c r="A83" s="2" t="s">
        <v>64</v>
      </c>
      <c r="B83" s="2" t="s">
        <v>65</v>
      </c>
      <c r="C83" s="3">
        <v>0.01</v>
      </c>
      <c r="D83" s="3">
        <v>0.3</v>
      </c>
      <c r="E83" s="2" t="s">
        <v>48</v>
      </c>
      <c r="F83" s="3">
        <v>1</v>
      </c>
      <c r="G83" s="2" t="s">
        <v>49</v>
      </c>
      <c r="H83" s="2" t="s">
        <v>66</v>
      </c>
      <c r="I83" s="2">
        <v>43</v>
      </c>
      <c r="J83" s="2">
        <v>3</v>
      </c>
      <c r="K83" s="2">
        <v>52</v>
      </c>
      <c r="L83" s="2">
        <v>156</v>
      </c>
      <c r="M83" s="2">
        <v>3.6280000000000001</v>
      </c>
      <c r="N83" s="2">
        <v>3</v>
      </c>
      <c r="O83" s="2">
        <v>1</v>
      </c>
      <c r="P83" s="2">
        <v>486</v>
      </c>
      <c r="Q83" s="2">
        <v>6</v>
      </c>
      <c r="R83" s="4">
        <v>6.2232251167297363</v>
      </c>
      <c r="S83" s="4">
        <v>12.42914644877116</v>
      </c>
      <c r="T83" s="4"/>
      <c r="U83" s="4"/>
      <c r="V83" s="4">
        <v>8.2320289611816406</v>
      </c>
      <c r="W83" s="4">
        <v>0.12732848525047299</v>
      </c>
      <c r="X83" s="5">
        <v>25.847096485999831</v>
      </c>
      <c r="Y83" s="5">
        <v>23.473061822000091</v>
      </c>
      <c r="Z83" s="3">
        <v>0.41377728684454451</v>
      </c>
      <c r="AA83" s="3">
        <v>0.32400000000000001</v>
      </c>
      <c r="AB83" s="3">
        <v>0.51100000000000001</v>
      </c>
      <c r="AC83" s="3">
        <v>1.1319114128127E-3</v>
      </c>
      <c r="AD83" s="3">
        <v>0.38981258869171143</v>
      </c>
      <c r="AE83" s="3">
        <v>8.3028655499218992E-3</v>
      </c>
      <c r="AF83" s="2">
        <v>1</v>
      </c>
      <c r="AG83" s="3">
        <v>7.9784028232097598E-2</v>
      </c>
      <c r="AH83" s="3">
        <v>-224.3133544921875</v>
      </c>
      <c r="AI83" s="3">
        <v>-6.4945812225341797</v>
      </c>
      <c r="AJ83" s="3">
        <v>0</v>
      </c>
      <c r="AK83" s="3">
        <v>-7.9828133117971323</v>
      </c>
      <c r="AL83" s="3">
        <v>-7.955674351784408</v>
      </c>
      <c r="AM83" s="3">
        <v>-2.7373033337516959</v>
      </c>
      <c r="AN83" s="3">
        <v>-1.6069626860396899</v>
      </c>
      <c r="AO83" s="3">
        <v>-2.7100011086182731</v>
      </c>
      <c r="AP83" s="3">
        <v>-1.642454652842106</v>
      </c>
      <c r="AQ83" s="3">
        <v>-0.56795779592855111</v>
      </c>
      <c r="AR83" s="3">
        <v>-1.0651866648384949</v>
      </c>
      <c r="AS83" s="3">
        <v>-1.9108423545383899</v>
      </c>
      <c r="AT83" s="3">
        <v>-1.260620291623062</v>
      </c>
      <c r="AU83" s="3">
        <v>-0.98385417698015876</v>
      </c>
      <c r="AV83" s="3">
        <v>-0.50768378685791848</v>
      </c>
      <c r="AW83" s="3">
        <v>-1.744908268492035</v>
      </c>
      <c r="AX83" s="3">
        <v>-1.741665457263972</v>
      </c>
      <c r="AY83" s="3">
        <v>-1.026937197246433</v>
      </c>
      <c r="AZ83" s="3">
        <v>-0.56123996560302225</v>
      </c>
      <c r="BA83" s="16">
        <f t="shared" si="4"/>
        <v>-1.2686877221513655</v>
      </c>
      <c r="BB83" s="16">
        <f t="shared" si="5"/>
        <v>-2.5776128762999897</v>
      </c>
    </row>
    <row r="84" spans="1:54" x14ac:dyDescent="0.25">
      <c r="A84" s="2" t="s">
        <v>64</v>
      </c>
      <c r="B84" s="2" t="s">
        <v>65</v>
      </c>
      <c r="C84" s="3">
        <v>0.01</v>
      </c>
      <c r="D84" s="3">
        <v>0.3</v>
      </c>
      <c r="E84" s="2" t="s">
        <v>48</v>
      </c>
      <c r="F84" s="3">
        <v>1</v>
      </c>
      <c r="G84" s="2" t="s">
        <v>51</v>
      </c>
      <c r="H84" s="2" t="s">
        <v>66</v>
      </c>
      <c r="I84" s="2">
        <v>43</v>
      </c>
      <c r="J84" s="2">
        <v>3</v>
      </c>
      <c r="K84" s="2">
        <v>52</v>
      </c>
      <c r="L84" s="2">
        <v>156</v>
      </c>
      <c r="M84" s="2">
        <v>3.6280000000000001</v>
      </c>
      <c r="N84" s="2">
        <v>2</v>
      </c>
      <c r="O84" s="2">
        <v>0</v>
      </c>
      <c r="P84" s="2">
        <v>10000</v>
      </c>
      <c r="Q84" s="2">
        <v>225</v>
      </c>
      <c r="R84" s="4">
        <v>4.9914679527282724</v>
      </c>
      <c r="S84" s="4">
        <v>6.2151368459065752</v>
      </c>
      <c r="T84" s="4"/>
      <c r="U84" s="4">
        <v>6.9408081372578936</v>
      </c>
      <c r="V84" s="4">
        <v>8.5989351272583008</v>
      </c>
      <c r="W84" s="4">
        <v>0.6463090181350708</v>
      </c>
      <c r="X84" s="5">
        <v>85.075830985000266</v>
      </c>
      <c r="Y84" s="5">
        <v>111.91356428200019</v>
      </c>
      <c r="Z84" s="3">
        <v>0.41377728684454451</v>
      </c>
      <c r="AA84" s="3">
        <v>0.32400000000000001</v>
      </c>
      <c r="AB84" s="3">
        <v>0.51100000000000001</v>
      </c>
      <c r="AC84" s="3">
        <v>1.2988449307158E-3</v>
      </c>
      <c r="AD84" s="3">
        <v>0.32794776558876038</v>
      </c>
      <c r="AE84" s="3">
        <v>6.8294359371065998E-3</v>
      </c>
      <c r="AF84" s="2">
        <v>1</v>
      </c>
      <c r="AG84" s="3">
        <v>3.3917900174856103E-2</v>
      </c>
      <c r="AH84" s="3">
        <v>-42.642044067382813</v>
      </c>
      <c r="AI84" s="3">
        <v>0</v>
      </c>
      <c r="AJ84" s="3">
        <v>0</v>
      </c>
      <c r="AK84" s="3">
        <v>-3.2778218770101399</v>
      </c>
      <c r="AL84" s="3">
        <v>-3.6746369200514301E-2</v>
      </c>
      <c r="AM84" s="3">
        <v>-0.1711218143269943</v>
      </c>
      <c r="AN84" s="3">
        <v>-1.711422947811208</v>
      </c>
      <c r="AO84" s="3">
        <v>-3.487771295197915</v>
      </c>
      <c r="AP84" s="3">
        <v>-0.1034966522145572</v>
      </c>
      <c r="AQ84" s="3">
        <v>-0.28821322805326077</v>
      </c>
      <c r="AR84" s="3">
        <v>-1.814686187325953</v>
      </c>
      <c r="AS84" s="3">
        <v>-3.1503447366365558</v>
      </c>
      <c r="AT84" s="3">
        <v>-1.05351531954356E-2</v>
      </c>
      <c r="AU84" s="3">
        <v>-7.5377760606205296E-2</v>
      </c>
      <c r="AV84" s="3">
        <v>-1.579492163063152</v>
      </c>
      <c r="AW84" s="3">
        <v>-1.9890375842949251</v>
      </c>
      <c r="AX84" s="3">
        <v>-1.0330239923274189</v>
      </c>
      <c r="AY84" s="3">
        <v>-0.42056762952186122</v>
      </c>
      <c r="AZ84" s="3">
        <v>-0.44834462730352159</v>
      </c>
      <c r="BA84" s="16">
        <f t="shared" si="4"/>
        <v>-0.97274345836193166</v>
      </c>
      <c r="BB84" s="16">
        <f t="shared" si="5"/>
        <v>-1.3089191820534909</v>
      </c>
    </row>
    <row r="85" spans="1:54" x14ac:dyDescent="0.25">
      <c r="A85" s="2" t="s">
        <v>64</v>
      </c>
      <c r="B85" s="2" t="s">
        <v>65</v>
      </c>
      <c r="C85" s="3">
        <v>0.01</v>
      </c>
      <c r="D85" s="3">
        <v>0.3</v>
      </c>
      <c r="E85" s="2" t="s">
        <v>48</v>
      </c>
      <c r="F85" s="3">
        <v>1</v>
      </c>
      <c r="G85" s="2" t="s">
        <v>51</v>
      </c>
      <c r="H85" s="2" t="s">
        <v>66</v>
      </c>
      <c r="I85" s="2">
        <v>43</v>
      </c>
      <c r="J85" s="2">
        <v>3</v>
      </c>
      <c r="K85" s="2">
        <v>52</v>
      </c>
      <c r="L85" s="2">
        <v>156</v>
      </c>
      <c r="M85" s="2">
        <v>3.6280000000000001</v>
      </c>
      <c r="N85" s="2">
        <v>3</v>
      </c>
      <c r="O85" s="2">
        <v>1</v>
      </c>
      <c r="P85" s="2">
        <v>1</v>
      </c>
      <c r="Q85" s="2"/>
      <c r="R85" s="4"/>
      <c r="S85" s="4"/>
      <c r="T85" s="4"/>
      <c r="U85" s="4"/>
      <c r="V85" s="4"/>
      <c r="W85" s="4"/>
      <c r="X85" s="5">
        <v>15.59414067800026</v>
      </c>
      <c r="Y85" s="5">
        <v>13.835072115999539</v>
      </c>
      <c r="Z85" s="3">
        <v>0.41377728684454451</v>
      </c>
      <c r="AA85" s="3">
        <v>0.32400000000000001</v>
      </c>
      <c r="AB85" s="3">
        <v>0.51100000000000001</v>
      </c>
      <c r="AC85" s="3"/>
      <c r="AD85" s="3"/>
      <c r="AE85" s="3"/>
      <c r="AF85" s="2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16" t="e">
        <f t="shared" si="4"/>
        <v>#DIV/0!</v>
      </c>
      <c r="BB85" s="16" t="e">
        <f t="shared" si="5"/>
        <v>#DIV/0!</v>
      </c>
    </row>
    <row r="86" spans="1:54" x14ac:dyDescent="0.25">
      <c r="A86" s="2" t="s">
        <v>64</v>
      </c>
      <c r="B86" s="2" t="s">
        <v>65</v>
      </c>
      <c r="C86" s="3">
        <v>0.01</v>
      </c>
      <c r="D86" s="3">
        <v>0.3</v>
      </c>
      <c r="E86" s="2" t="s">
        <v>52</v>
      </c>
      <c r="F86" s="3">
        <v>1</v>
      </c>
      <c r="G86" s="2" t="s">
        <v>49</v>
      </c>
      <c r="H86" s="2" t="s">
        <v>67</v>
      </c>
      <c r="I86" s="2">
        <v>73</v>
      </c>
      <c r="J86" s="2">
        <v>3</v>
      </c>
      <c r="K86" s="2">
        <v>82</v>
      </c>
      <c r="L86" s="2">
        <v>156</v>
      </c>
      <c r="M86" s="2">
        <v>2.137</v>
      </c>
      <c r="N86" s="2">
        <v>2</v>
      </c>
      <c r="O86" s="2">
        <v>0</v>
      </c>
      <c r="P86" s="2">
        <v>10000</v>
      </c>
      <c r="Q86" s="2">
        <v>1</v>
      </c>
      <c r="R86" s="4">
        <v>5.6877880096435547</v>
      </c>
      <c r="S86" s="4">
        <v>8.9026837348937988</v>
      </c>
      <c r="T86" s="4"/>
      <c r="U86" s="4">
        <v>4.32293701171875</v>
      </c>
      <c r="V86" s="4">
        <v>8.556757926940918</v>
      </c>
      <c r="W86" s="4">
        <v>2.1506885066628401E-2</v>
      </c>
      <c r="X86" s="5">
        <v>90.045662656999866</v>
      </c>
      <c r="Y86" s="5">
        <v>115.8428472140004</v>
      </c>
      <c r="Z86" s="3">
        <v>0.41377728684454451</v>
      </c>
      <c r="AA86" s="3">
        <v>0.32400000000000001</v>
      </c>
      <c r="AB86" s="3">
        <v>0.51100000000000001</v>
      </c>
      <c r="AC86" s="3">
        <v>1.1259573511779E-3</v>
      </c>
      <c r="AD86" s="3">
        <v>0.34964537620544428</v>
      </c>
      <c r="AE86" s="3">
        <v>7.1744602173566003E-3</v>
      </c>
      <c r="AF86" s="2">
        <v>0</v>
      </c>
      <c r="AG86" s="3">
        <v>9.30146723985672E-2</v>
      </c>
      <c r="AH86" s="3">
        <v>14.209856033325201</v>
      </c>
      <c r="AI86" s="3">
        <v>0</v>
      </c>
      <c r="AJ86" s="3">
        <v>0</v>
      </c>
      <c r="AK86" s="3">
        <v>-1.9498118328405001</v>
      </c>
      <c r="AL86" s="3">
        <v>-0.98687583768309362</v>
      </c>
      <c r="AM86" s="3">
        <v>-0.6882877329024415</v>
      </c>
      <c r="AN86" s="3">
        <v>-0.67326912042363296</v>
      </c>
      <c r="AO86" s="3">
        <v>-2.9698551643291631</v>
      </c>
      <c r="AP86" s="3">
        <v>-2.564765689448814</v>
      </c>
      <c r="AQ86" s="3">
        <v>-0.49083372436086398</v>
      </c>
      <c r="AR86" s="3">
        <v>-1.383744120426992</v>
      </c>
      <c r="AS86" s="3">
        <v>-2.2349562089606891</v>
      </c>
      <c r="AT86" s="3">
        <v>-2.1945338381779602</v>
      </c>
      <c r="AU86" s="3">
        <v>-0.87291887447086447</v>
      </c>
      <c r="AV86" s="3">
        <v>-0.87765466934515368</v>
      </c>
      <c r="AW86" s="3">
        <v>-1.351614788616414</v>
      </c>
      <c r="AX86" s="3">
        <v>-1.3774603864833079</v>
      </c>
      <c r="AY86" s="3">
        <v>-1.1194038874171131</v>
      </c>
      <c r="AZ86" s="3">
        <v>-0.30424556872161368</v>
      </c>
      <c r="BA86" s="16">
        <f t="shared" si="4"/>
        <v>-1.0381811578096123</v>
      </c>
      <c r="BB86" s="16">
        <f t="shared" si="5"/>
        <v>-1.4906255677808475</v>
      </c>
    </row>
    <row r="87" spans="1:54" x14ac:dyDescent="0.25">
      <c r="A87" s="2" t="s">
        <v>64</v>
      </c>
      <c r="B87" s="2" t="s">
        <v>65</v>
      </c>
      <c r="C87" s="3">
        <v>0.01</v>
      </c>
      <c r="D87" s="3">
        <v>0.3</v>
      </c>
      <c r="E87" s="2" t="s">
        <v>52</v>
      </c>
      <c r="F87" s="3">
        <v>1</v>
      </c>
      <c r="G87" s="2" t="s">
        <v>49</v>
      </c>
      <c r="H87" s="2" t="s">
        <v>67</v>
      </c>
      <c r="I87" s="2">
        <v>73</v>
      </c>
      <c r="J87" s="2">
        <v>3</v>
      </c>
      <c r="K87" s="2">
        <v>82</v>
      </c>
      <c r="L87" s="2">
        <v>156</v>
      </c>
      <c r="M87" s="2">
        <v>2.137</v>
      </c>
      <c r="N87" s="2">
        <v>3</v>
      </c>
      <c r="O87" s="2">
        <v>0</v>
      </c>
      <c r="P87" s="2">
        <v>10000</v>
      </c>
      <c r="Q87" s="2">
        <v>122</v>
      </c>
      <c r="R87" s="4">
        <v>7.2972660064697266</v>
      </c>
      <c r="S87" s="4">
        <v>4.9394224484761553</v>
      </c>
      <c r="T87" s="4"/>
      <c r="U87" s="4">
        <v>4.4420332908630371</v>
      </c>
      <c r="V87" s="4">
        <v>8.423583984375</v>
      </c>
      <c r="W87" s="4">
        <v>0.64820188283920288</v>
      </c>
      <c r="X87" s="5">
        <v>91.557651784999962</v>
      </c>
      <c r="Y87" s="5">
        <v>246.67910508099979</v>
      </c>
      <c r="Z87" s="3">
        <v>0.41377728684454451</v>
      </c>
      <c r="AA87" s="3">
        <v>0.32400000000000001</v>
      </c>
      <c r="AB87" s="3">
        <v>0.51100000000000001</v>
      </c>
      <c r="AC87" s="3">
        <v>7.3963128961622004E-3</v>
      </c>
      <c r="AD87" s="3">
        <v>0.26094323396682739</v>
      </c>
      <c r="AE87" s="3">
        <v>0.25786665081977839</v>
      </c>
      <c r="AF87" s="2">
        <v>0</v>
      </c>
      <c r="AG87" s="3">
        <v>0.15474452078342429</v>
      </c>
      <c r="AH87" s="3">
        <v>10.152206420898439</v>
      </c>
      <c r="AI87" s="3">
        <v>0</v>
      </c>
      <c r="AJ87" s="3">
        <v>0</v>
      </c>
      <c r="AK87" s="3">
        <v>-3.046448297929</v>
      </c>
      <c r="AL87" s="3">
        <v>-4.6008890044629103E-2</v>
      </c>
      <c r="AM87" s="3">
        <v>-0.2930915672225447</v>
      </c>
      <c r="AN87" s="3">
        <v>0.96310140861536098</v>
      </c>
      <c r="AO87" s="3">
        <v>-3.2953073312757479</v>
      </c>
      <c r="AP87" s="3">
        <v>-5.92358243854023E-2</v>
      </c>
      <c r="AQ87" s="3">
        <v>-0.42492740796607559</v>
      </c>
      <c r="AR87" s="3">
        <v>0.90469278105807405</v>
      </c>
      <c r="AS87" s="3">
        <v>-3.074488138264361</v>
      </c>
      <c r="AT87" s="3">
        <v>-8.4431119603106605E-2</v>
      </c>
      <c r="AU87" s="3">
        <v>-0.33556095467153368</v>
      </c>
      <c r="AV87" s="3">
        <v>0.9009956099186256</v>
      </c>
      <c r="AW87" s="3">
        <v>-3.1427562422728319</v>
      </c>
      <c r="AX87" s="3">
        <v>-2.8647650610040838</v>
      </c>
      <c r="AY87" s="3">
        <v>-0.73447458288671053</v>
      </c>
      <c r="AZ87" s="3">
        <v>-0.1781366179508439</v>
      </c>
      <c r="BA87" s="16">
        <f t="shared" si="4"/>
        <v>-1.7300331260286173</v>
      </c>
      <c r="BB87" s="16">
        <f t="shared" si="5"/>
        <v>-0.65755914431419493</v>
      </c>
    </row>
    <row r="88" spans="1:54" x14ac:dyDescent="0.25">
      <c r="A88" s="2" t="s">
        <v>64</v>
      </c>
      <c r="B88" s="2" t="s">
        <v>65</v>
      </c>
      <c r="C88" s="3">
        <v>0.01</v>
      </c>
      <c r="D88" s="3">
        <v>0.3</v>
      </c>
      <c r="E88" s="2" t="s">
        <v>52</v>
      </c>
      <c r="F88" s="3">
        <v>1</v>
      </c>
      <c r="G88" s="2" t="s">
        <v>51</v>
      </c>
      <c r="H88" s="2" t="s">
        <v>67</v>
      </c>
      <c r="I88" s="2">
        <v>73</v>
      </c>
      <c r="J88" s="2">
        <v>3</v>
      </c>
      <c r="K88" s="2">
        <v>82</v>
      </c>
      <c r="L88" s="2">
        <v>156</v>
      </c>
      <c r="M88" s="2">
        <v>2.137</v>
      </c>
      <c r="N88" s="2">
        <v>2</v>
      </c>
      <c r="O88" s="2">
        <v>1</v>
      </c>
      <c r="P88" s="2">
        <v>1577</v>
      </c>
      <c r="Q88" s="2">
        <v>69</v>
      </c>
      <c r="R88" s="4">
        <v>2.1453647613525391</v>
      </c>
      <c r="S88" s="4">
        <v>4.0398061275482178</v>
      </c>
      <c r="T88" s="4"/>
      <c r="U88" s="4">
        <v>1042983.603618304</v>
      </c>
      <c r="V88" s="4">
        <v>8.1022529602050781</v>
      </c>
      <c r="W88" s="4">
        <v>0.36249515414237971</v>
      </c>
      <c r="X88" s="5">
        <v>36.743963540000102</v>
      </c>
      <c r="Y88" s="5">
        <v>87.117504742999699</v>
      </c>
      <c r="Z88" s="3">
        <v>0.41377728684454451</v>
      </c>
      <c r="AA88" s="3">
        <v>0.32400000000000001</v>
      </c>
      <c r="AB88" s="3">
        <v>0.51100000000000001</v>
      </c>
      <c r="AC88" s="3">
        <v>1.2647942639886999E-3</v>
      </c>
      <c r="AD88" s="3">
        <v>0.34664309024810791</v>
      </c>
      <c r="AE88" s="3">
        <v>7.1497266180813E-3</v>
      </c>
      <c r="AF88" s="2">
        <v>0</v>
      </c>
      <c r="AG88" s="3">
        <v>0.1240434423089027</v>
      </c>
      <c r="AH88" s="3">
        <v>5.4631104469299316</v>
      </c>
      <c r="AI88" s="3">
        <v>0</v>
      </c>
      <c r="AJ88" s="3">
        <v>0</v>
      </c>
      <c r="AK88" s="3">
        <v>0.1755343645080302</v>
      </c>
      <c r="AL88" s="3">
        <v>0.70681820989523692</v>
      </c>
      <c r="AM88" s="3">
        <v>-0.58110384038519092</v>
      </c>
      <c r="AN88" s="3">
        <v>0.69220879795591395</v>
      </c>
      <c r="AO88" s="3">
        <v>-1.21581278837068</v>
      </c>
      <c r="AP88" s="3">
        <v>0.47348083060457319</v>
      </c>
      <c r="AQ88" s="3">
        <v>-0.47497146011319308</v>
      </c>
      <c r="AR88" s="3">
        <v>-0.10874880141084391</v>
      </c>
      <c r="AS88" s="3">
        <v>-0.29934737840570319</v>
      </c>
      <c r="AT88" s="3">
        <v>0.57128017009461629</v>
      </c>
      <c r="AU88" s="3">
        <v>-0.87145108871476706</v>
      </c>
      <c r="AV88" s="3">
        <v>0.40597755550831399</v>
      </c>
      <c r="AW88" s="3">
        <v>0.91610426207315276</v>
      </c>
      <c r="AX88" s="3">
        <v>0.85405298521299144</v>
      </c>
      <c r="AY88" s="3">
        <v>-1.1073897722428609</v>
      </c>
      <c r="AZ88" s="3">
        <v>0.86482321483445834</v>
      </c>
      <c r="BA88" s="16">
        <f t="shared" si="4"/>
        <v>0.3818976724694354</v>
      </c>
      <c r="BB88" s="16">
        <f t="shared" si="5"/>
        <v>-4.3844619069474476E-2</v>
      </c>
    </row>
    <row r="89" spans="1:54" x14ac:dyDescent="0.25">
      <c r="A89" s="2" t="s">
        <v>64</v>
      </c>
      <c r="B89" s="2" t="s">
        <v>65</v>
      </c>
      <c r="C89" s="3">
        <v>0.01</v>
      </c>
      <c r="D89" s="3">
        <v>0.3</v>
      </c>
      <c r="E89" s="2" t="s">
        <v>52</v>
      </c>
      <c r="F89" s="3">
        <v>1</v>
      </c>
      <c r="G89" s="2" t="s">
        <v>51</v>
      </c>
      <c r="H89" s="2" t="s">
        <v>67</v>
      </c>
      <c r="I89" s="2">
        <v>73</v>
      </c>
      <c r="J89" s="2">
        <v>3</v>
      </c>
      <c r="K89" s="2">
        <v>82</v>
      </c>
      <c r="L89" s="2">
        <v>156</v>
      </c>
      <c r="M89" s="2">
        <v>2.137</v>
      </c>
      <c r="N89" s="2">
        <v>3</v>
      </c>
      <c r="O89" s="2">
        <v>1</v>
      </c>
      <c r="P89" s="2">
        <v>9635</v>
      </c>
      <c r="Q89" s="2">
        <v>263</v>
      </c>
      <c r="R89" s="4">
        <v>1.4788622856140139</v>
      </c>
      <c r="S89" s="4">
        <v>3.7882363796234131</v>
      </c>
      <c r="T89" s="4"/>
      <c r="U89" s="4"/>
      <c r="V89" s="4"/>
      <c r="W89" s="4">
        <v>0.48699396848678589</v>
      </c>
      <c r="X89" s="5">
        <v>88.673801577000177</v>
      </c>
      <c r="Y89" s="5">
        <v>163.71036502100009</v>
      </c>
      <c r="Z89" s="3">
        <v>0.41377728684454451</v>
      </c>
      <c r="AA89" s="3">
        <v>0.32400000000000001</v>
      </c>
      <c r="AB89" s="3">
        <v>0.51100000000000001</v>
      </c>
      <c r="AC89" s="3">
        <v>1.2384813744574E-3</v>
      </c>
      <c r="AD89" s="3">
        <v>0.35677644610404968</v>
      </c>
      <c r="AE89" s="3">
        <v>1.13665303215384E-2</v>
      </c>
      <c r="AF89" s="2">
        <v>1</v>
      </c>
      <c r="AG89" s="3">
        <v>4.8369053751230198E-2</v>
      </c>
      <c r="AH89" s="3">
        <v>5.8457932472229004</v>
      </c>
      <c r="AI89" s="3">
        <v>-3.914261469617486E-6</v>
      </c>
      <c r="AJ89" s="3">
        <v>0</v>
      </c>
      <c r="AK89" s="3">
        <v>-4.1589068566337303E-2</v>
      </c>
      <c r="AL89" s="3">
        <v>0.55188410715863745</v>
      </c>
      <c r="AM89" s="3">
        <v>-0.15772749848050699</v>
      </c>
      <c r="AN89" s="3">
        <v>0.78785716513529247</v>
      </c>
      <c r="AO89" s="3">
        <v>-1.777309144901569</v>
      </c>
      <c r="AP89" s="3">
        <v>0.2407949990576187</v>
      </c>
      <c r="AQ89" s="3">
        <v>-0.47497146011319308</v>
      </c>
      <c r="AR89" s="3">
        <v>-3.1507391525473903E-2</v>
      </c>
      <c r="AS89" s="3">
        <v>-0.21666395529689381</v>
      </c>
      <c r="AT89" s="3">
        <v>0.36870054613338771</v>
      </c>
      <c r="AU89" s="3">
        <v>-0.236537831226762</v>
      </c>
      <c r="AV89" s="3">
        <v>0.76756096226574122</v>
      </c>
      <c r="AW89" s="3">
        <v>0.94923548015796844</v>
      </c>
      <c r="AX89" s="3">
        <v>0.86341447100440072</v>
      </c>
      <c r="AY89" s="3">
        <v>-8.9613049139123102E-2</v>
      </c>
      <c r="AZ89" s="3">
        <v>0.35538606057900868</v>
      </c>
      <c r="BA89" s="16">
        <f t="shared" si="4"/>
        <v>0.51960574065056364</v>
      </c>
      <c r="BB89" s="16">
        <f t="shared" si="5"/>
        <v>-1.8292380863338193E-2</v>
      </c>
    </row>
    <row r="90" spans="1:54" x14ac:dyDescent="0.25">
      <c r="A90" s="2" t="s">
        <v>64</v>
      </c>
      <c r="B90" s="2" t="s">
        <v>65</v>
      </c>
      <c r="C90" s="3">
        <v>0.01</v>
      </c>
      <c r="D90" s="3">
        <v>0.3</v>
      </c>
      <c r="E90" s="2" t="s">
        <v>54</v>
      </c>
      <c r="F90" s="3">
        <v>1</v>
      </c>
      <c r="G90" s="2" t="s">
        <v>49</v>
      </c>
      <c r="H90" s="2" t="s">
        <v>68</v>
      </c>
      <c r="I90" s="2">
        <v>171</v>
      </c>
      <c r="J90" s="2">
        <v>3</v>
      </c>
      <c r="K90" s="2">
        <v>180</v>
      </c>
      <c r="L90" s="2">
        <v>156</v>
      </c>
      <c r="M90" s="2">
        <v>0.91200000000000003</v>
      </c>
      <c r="N90" s="2">
        <v>2</v>
      </c>
      <c r="O90" s="2">
        <v>0</v>
      </c>
      <c r="P90" s="2">
        <v>10000</v>
      </c>
      <c r="Q90" s="2">
        <v>2878</v>
      </c>
      <c r="R90" s="4">
        <v>6.9472332000732422</v>
      </c>
      <c r="S90" s="4">
        <v>4.4337495168050127</v>
      </c>
      <c r="T90" s="4"/>
      <c r="U90" s="4">
        <v>4.4593823750813799</v>
      </c>
      <c r="V90" s="4">
        <v>8.3750171661376953</v>
      </c>
      <c r="W90" s="4">
        <v>7.7906936407089206E-2</v>
      </c>
      <c r="X90" s="5">
        <v>97.884734815000243</v>
      </c>
      <c r="Y90" s="5">
        <v>262.84580568599989</v>
      </c>
      <c r="Z90" s="3">
        <v>0.41377728684454451</v>
      </c>
      <c r="AA90" s="3">
        <v>0.32400000000000001</v>
      </c>
      <c r="AB90" s="3">
        <v>0.51100000000000001</v>
      </c>
      <c r="AC90" s="3">
        <v>6.3661180436611106E-2</v>
      </c>
      <c r="AD90" s="3">
        <v>0.12694463133811951</v>
      </c>
      <c r="AE90" s="3">
        <v>0.72446060180664063</v>
      </c>
      <c r="AF90" s="2">
        <v>0</v>
      </c>
      <c r="AG90" s="3">
        <v>1.9247642194379999E-4</v>
      </c>
      <c r="AH90" s="3">
        <v>7.2172122001647949</v>
      </c>
      <c r="AI90" s="3">
        <v>0</v>
      </c>
      <c r="AJ90" s="3">
        <v>0</v>
      </c>
      <c r="AK90" s="3">
        <v>-3.301619351550221</v>
      </c>
      <c r="AL90" s="3">
        <v>4.3308450988888601E-2</v>
      </c>
      <c r="AM90" s="3">
        <v>6.7365775990696999E-2</v>
      </c>
      <c r="AN90" s="3">
        <v>0.51598715662324723</v>
      </c>
      <c r="AO90" s="3">
        <v>-3.4840390261732939</v>
      </c>
      <c r="AP90" s="3">
        <v>6.0034572334786401E-2</v>
      </c>
      <c r="AQ90" s="3">
        <v>-3.7031155147177999E-3</v>
      </c>
      <c r="AR90" s="3">
        <v>0.6118904987377789</v>
      </c>
      <c r="AS90" s="3">
        <v>-3.311312184780935</v>
      </c>
      <c r="AT90" s="3">
        <v>4.2624868512620498E-2</v>
      </c>
      <c r="AU90" s="3">
        <v>9.0102895978754496E-2</v>
      </c>
      <c r="AV90" s="3">
        <v>0.36893696403621051</v>
      </c>
      <c r="AW90" s="3">
        <v>-3.2169542974588672</v>
      </c>
      <c r="AX90" s="3">
        <v>-2.7452989798286498</v>
      </c>
      <c r="AY90" s="3">
        <v>-0.2212236511908891</v>
      </c>
      <c r="AZ90" s="3">
        <v>-0.5682501672229614</v>
      </c>
      <c r="BA90" s="16">
        <f t="shared" si="4"/>
        <v>-1.6879317739253419</v>
      </c>
      <c r="BB90" s="16">
        <f t="shared" si="5"/>
        <v>-0.69170187456801535</v>
      </c>
    </row>
    <row r="91" spans="1:54" x14ac:dyDescent="0.25">
      <c r="A91" s="2" t="s">
        <v>64</v>
      </c>
      <c r="B91" s="2" t="s">
        <v>65</v>
      </c>
      <c r="C91" s="3">
        <v>0.01</v>
      </c>
      <c r="D91" s="3">
        <v>0.3</v>
      </c>
      <c r="E91" s="2" t="s">
        <v>54</v>
      </c>
      <c r="F91" s="3">
        <v>1</v>
      </c>
      <c r="G91" s="2" t="s">
        <v>49</v>
      </c>
      <c r="H91" s="2" t="s">
        <v>68</v>
      </c>
      <c r="I91" s="2">
        <v>171</v>
      </c>
      <c r="J91" s="2">
        <v>3</v>
      </c>
      <c r="K91" s="2">
        <v>180</v>
      </c>
      <c r="L91" s="2">
        <v>156</v>
      </c>
      <c r="M91" s="2">
        <v>0.91200000000000003</v>
      </c>
      <c r="N91" s="2">
        <v>3</v>
      </c>
      <c r="O91" s="2">
        <v>0</v>
      </c>
      <c r="P91" s="2">
        <v>10000</v>
      </c>
      <c r="Q91" s="2">
        <v>1</v>
      </c>
      <c r="R91" s="4">
        <v>5.5781702995300293</v>
      </c>
      <c r="S91" s="4">
        <v>8.660637378692627</v>
      </c>
      <c r="T91" s="4"/>
      <c r="U91" s="4">
        <v>4.3229211966196699</v>
      </c>
      <c r="V91" s="4">
        <v>8.5565099716186523</v>
      </c>
      <c r="W91" s="4">
        <v>2.1506885066628401E-2</v>
      </c>
      <c r="X91" s="5">
        <v>96.667410885999743</v>
      </c>
      <c r="Y91" s="5">
        <v>120.01727898199989</v>
      </c>
      <c r="Z91" s="3">
        <v>0.41377728684454451</v>
      </c>
      <c r="AA91" s="3">
        <v>0.32400000000000001</v>
      </c>
      <c r="AB91" s="3">
        <v>0.51100000000000001</v>
      </c>
      <c r="AC91" s="3">
        <v>1.1556081008166001E-3</v>
      </c>
      <c r="AD91" s="3">
        <v>0.34928867220878601</v>
      </c>
      <c r="AE91" s="3">
        <v>7.1912631392477997E-3</v>
      </c>
      <c r="AF91" s="2">
        <v>0</v>
      </c>
      <c r="AG91" s="3">
        <v>0.1070707142353057</v>
      </c>
      <c r="AH91" s="3">
        <v>10.573835372924799</v>
      </c>
      <c r="AI91" s="3">
        <v>0</v>
      </c>
      <c r="AJ91" s="3">
        <v>0</v>
      </c>
      <c r="AK91" s="3">
        <v>-1.830840383442059</v>
      </c>
      <c r="AL91" s="3">
        <v>-0.99429580538078477</v>
      </c>
      <c r="AM91" s="3">
        <v>-0.58110384038519092</v>
      </c>
      <c r="AN91" s="3">
        <v>-0.53558819793732582</v>
      </c>
      <c r="AO91" s="3">
        <v>-2.7497942016820112</v>
      </c>
      <c r="AP91" s="3">
        <v>-2.4079106131877608</v>
      </c>
      <c r="AQ91" s="3">
        <v>-0.47497146011319308</v>
      </c>
      <c r="AR91" s="3">
        <v>-1.1919037390181551</v>
      </c>
      <c r="AS91" s="3">
        <v>-2.278630792581009</v>
      </c>
      <c r="AT91" s="3">
        <v>-2.2054680716170898</v>
      </c>
      <c r="AU91" s="3">
        <v>-0.87145108871476706</v>
      </c>
      <c r="AV91" s="3">
        <v>-0.90334910965576376</v>
      </c>
      <c r="AW91" s="3">
        <v>-1.2833341601322721</v>
      </c>
      <c r="AX91" s="3">
        <v>-1.3464430316116229</v>
      </c>
      <c r="AY91" s="3">
        <v>-1.1073897722428609</v>
      </c>
      <c r="AZ91" s="3">
        <v>-0.216344833183931</v>
      </c>
      <c r="BA91" s="16">
        <f t="shared" si="4"/>
        <v>-0.98837794929267186</v>
      </c>
      <c r="BB91" s="16">
        <f t="shared" si="5"/>
        <v>-1.4187756086429257</v>
      </c>
    </row>
    <row r="92" spans="1:54" x14ac:dyDescent="0.25">
      <c r="A92" s="2" t="s">
        <v>64</v>
      </c>
      <c r="B92" s="2" t="s">
        <v>65</v>
      </c>
      <c r="C92" s="3">
        <v>0.01</v>
      </c>
      <c r="D92" s="3">
        <v>0.3</v>
      </c>
      <c r="E92" s="2" t="s">
        <v>54</v>
      </c>
      <c r="F92" s="3">
        <v>1</v>
      </c>
      <c r="G92" s="2" t="s">
        <v>51</v>
      </c>
      <c r="H92" s="2" t="s">
        <v>68</v>
      </c>
      <c r="I92" s="2">
        <v>171</v>
      </c>
      <c r="J92" s="2">
        <v>3</v>
      </c>
      <c r="K92" s="2">
        <v>180</v>
      </c>
      <c r="L92" s="2">
        <v>156</v>
      </c>
      <c r="M92" s="2">
        <v>0.91200000000000003</v>
      </c>
      <c r="N92" s="2">
        <v>2</v>
      </c>
      <c r="O92" s="2">
        <v>0</v>
      </c>
      <c r="P92" s="2">
        <v>10000</v>
      </c>
      <c r="Q92" s="2">
        <v>3311</v>
      </c>
      <c r="R92" s="4">
        <v>6.401432991027832</v>
      </c>
      <c r="S92" s="4">
        <v>5.1451622645060224</v>
      </c>
      <c r="T92" s="4"/>
      <c r="U92" s="4">
        <v>7.2822685241699219</v>
      </c>
      <c r="V92" s="4">
        <v>8.6082830429077148</v>
      </c>
      <c r="W92" s="4">
        <v>0.54761505126953125</v>
      </c>
      <c r="X92" s="5">
        <v>96.694888924000225</v>
      </c>
      <c r="Y92" s="5">
        <v>168.08239849000071</v>
      </c>
      <c r="Z92" s="3">
        <v>0.41377728684454451</v>
      </c>
      <c r="AA92" s="3">
        <v>0.32400000000000001</v>
      </c>
      <c r="AB92" s="3">
        <v>0.51100000000000001</v>
      </c>
      <c r="AC92" s="3">
        <v>1.4103929279372001E-3</v>
      </c>
      <c r="AD92" s="3">
        <v>0.36937114596366882</v>
      </c>
      <c r="AE92" s="3">
        <v>7.6663694344460001E-3</v>
      </c>
      <c r="AF92" s="2">
        <v>0</v>
      </c>
      <c r="AG92" s="3">
        <v>4.7057285904884297E-2</v>
      </c>
      <c r="AH92" s="3">
        <v>5.1032505035400391</v>
      </c>
      <c r="AI92" s="3">
        <v>0</v>
      </c>
      <c r="AJ92" s="3">
        <v>0</v>
      </c>
      <c r="AK92" s="3">
        <v>-2.571791933406149</v>
      </c>
      <c r="AL92" s="3">
        <v>0.165758947723781</v>
      </c>
      <c r="AM92" s="3">
        <v>9.5305085947631193E-2</v>
      </c>
      <c r="AN92" s="3">
        <v>-1.198165702593128</v>
      </c>
      <c r="AO92" s="3">
        <v>-3.194641378241704</v>
      </c>
      <c r="AP92" s="3">
        <v>9.3939713934317701E-2</v>
      </c>
      <c r="AQ92" s="3">
        <v>5.41562505076034E-2</v>
      </c>
      <c r="AR92" s="3">
        <v>-1.5568147486468289</v>
      </c>
      <c r="AS92" s="3">
        <v>-2.563253411485884</v>
      </c>
      <c r="AT92" s="3">
        <v>0.13028728285096711</v>
      </c>
      <c r="AU92" s="3">
        <v>3.6287839361855603E-2</v>
      </c>
      <c r="AV92" s="3">
        <v>-1.137388674775125</v>
      </c>
      <c r="AW92" s="3">
        <v>-2.032082793603621</v>
      </c>
      <c r="AX92" s="3">
        <v>-1.2416506969730789</v>
      </c>
      <c r="AY92" s="3">
        <v>-1.4896487674801799</v>
      </c>
      <c r="AZ92" s="3">
        <v>-0.86999607136294466</v>
      </c>
      <c r="BA92" s="16">
        <f t="shared" si="4"/>
        <v>-1.4083445823549561</v>
      </c>
      <c r="BB92" s="16">
        <f t="shared" si="5"/>
        <v>-0.9705267274018885</v>
      </c>
    </row>
    <row r="93" spans="1:54" x14ac:dyDescent="0.25">
      <c r="A93" s="2" t="s">
        <v>64</v>
      </c>
      <c r="B93" s="2" t="s">
        <v>65</v>
      </c>
      <c r="C93" s="3">
        <v>0.01</v>
      </c>
      <c r="D93" s="3">
        <v>0.3</v>
      </c>
      <c r="E93" s="2" t="s">
        <v>54</v>
      </c>
      <c r="F93" s="3">
        <v>1</v>
      </c>
      <c r="G93" s="2" t="s">
        <v>51</v>
      </c>
      <c r="H93" s="2" t="s">
        <v>68</v>
      </c>
      <c r="I93" s="2">
        <v>171</v>
      </c>
      <c r="J93" s="2">
        <v>3</v>
      </c>
      <c r="K93" s="2">
        <v>180</v>
      </c>
      <c r="L93" s="2">
        <v>156</v>
      </c>
      <c r="M93" s="2">
        <v>0.91200000000000003</v>
      </c>
      <c r="N93" s="2">
        <v>3</v>
      </c>
      <c r="O93" s="2">
        <v>0</v>
      </c>
      <c r="P93" s="2">
        <v>10000</v>
      </c>
      <c r="Q93" s="2">
        <v>357</v>
      </c>
      <c r="R93" s="4">
        <v>7.9787540435791016</v>
      </c>
      <c r="S93" s="4">
        <v>5.3523310025533037</v>
      </c>
      <c r="T93" s="4"/>
      <c r="U93" s="4">
        <v>4.322922945022583</v>
      </c>
      <c r="V93" s="4">
        <v>8.5565147399902344</v>
      </c>
      <c r="W93" s="4">
        <v>0.6570441722869873</v>
      </c>
      <c r="X93" s="5">
        <v>95.70319711799992</v>
      </c>
      <c r="Y93" s="5">
        <v>120.2783703559999</v>
      </c>
      <c r="Z93" s="3">
        <v>0.41377728684454451</v>
      </c>
      <c r="AA93" s="3">
        <v>0.32400000000000001</v>
      </c>
      <c r="AB93" s="3">
        <v>0.51100000000000001</v>
      </c>
      <c r="AC93" s="3">
        <v>5.7512323837720001E-4</v>
      </c>
      <c r="AD93" s="3">
        <v>0.33013632893562311</v>
      </c>
      <c r="AE93" s="3">
        <v>0.1292354017496109</v>
      </c>
      <c r="AF93" s="2">
        <v>0</v>
      </c>
      <c r="AG93" s="3">
        <v>0.3733251690864563</v>
      </c>
      <c r="AH93" s="3">
        <v>10.933963775634769</v>
      </c>
      <c r="AI93" s="3">
        <v>0</v>
      </c>
      <c r="AJ93" s="3">
        <v>0</v>
      </c>
      <c r="AK93" s="3">
        <v>-2.6958259597727028</v>
      </c>
      <c r="AL93" s="3">
        <v>-0.12764158460877839</v>
      </c>
      <c r="AM93" s="3">
        <v>-0.58110384038519092</v>
      </c>
      <c r="AN93" s="3">
        <v>0.95402851577652936</v>
      </c>
      <c r="AO93" s="3">
        <v>-2.9242756523312678</v>
      </c>
      <c r="AP93" s="3">
        <v>-0.12519186781190611</v>
      </c>
      <c r="AQ93" s="3">
        <v>-0.47497146011319308</v>
      </c>
      <c r="AR93" s="3">
        <v>0.93815043355518679</v>
      </c>
      <c r="AS93" s="3">
        <v>-2.8433513643365549</v>
      </c>
      <c r="AT93" s="3">
        <v>-0.17629891593224409</v>
      </c>
      <c r="AU93" s="3">
        <v>-0.87145108871476706</v>
      </c>
      <c r="AV93" s="3">
        <v>0.89584020493783667</v>
      </c>
      <c r="AW93" s="3">
        <v>-3.0984384535312341</v>
      </c>
      <c r="AX93" s="3">
        <v>-2.966060564139247</v>
      </c>
      <c r="AY93" s="3">
        <v>-1.1073897722428609</v>
      </c>
      <c r="AZ93" s="3">
        <v>-0.66207282808986867</v>
      </c>
      <c r="BA93" s="16">
        <f t="shared" si="4"/>
        <v>-1.9584904045008029</v>
      </c>
      <c r="BB93" s="16">
        <f t="shared" si="5"/>
        <v>-0.66934104831142094</v>
      </c>
    </row>
    <row r="94" spans="1:54" x14ac:dyDescent="0.25">
      <c r="A94" s="2" t="s">
        <v>64</v>
      </c>
      <c r="B94" s="2" t="s">
        <v>65</v>
      </c>
      <c r="C94" s="3">
        <v>0.01</v>
      </c>
      <c r="D94" s="3">
        <v>0.3</v>
      </c>
      <c r="E94" s="2" t="s">
        <v>56</v>
      </c>
      <c r="F94" s="3">
        <v>1</v>
      </c>
      <c r="G94" s="2" t="s">
        <v>49</v>
      </c>
      <c r="H94" s="2" t="s">
        <v>69</v>
      </c>
      <c r="I94" s="2">
        <v>227</v>
      </c>
      <c r="J94" s="2">
        <v>3</v>
      </c>
      <c r="K94" s="2">
        <v>236</v>
      </c>
      <c r="L94" s="2">
        <v>156</v>
      </c>
      <c r="M94" s="2">
        <v>0.68700000000000006</v>
      </c>
      <c r="N94" s="2">
        <v>2</v>
      </c>
      <c r="O94" s="2">
        <v>0</v>
      </c>
      <c r="P94" s="2">
        <v>10000</v>
      </c>
      <c r="Q94" s="2">
        <v>89</v>
      </c>
      <c r="R94" s="4">
        <v>8.1243686676025391</v>
      </c>
      <c r="S94" s="4">
        <v>5.3763111432393389</v>
      </c>
      <c r="T94" s="4"/>
      <c r="U94" s="4">
        <v>4.322932243347168</v>
      </c>
      <c r="V94" s="4">
        <v>8.5567550659179688</v>
      </c>
      <c r="W94" s="4">
        <v>0.65845602750778198</v>
      </c>
      <c r="X94" s="5">
        <v>102.5683871679998</v>
      </c>
      <c r="Y94" s="5">
        <v>125.98985530499979</v>
      </c>
      <c r="Z94" s="3">
        <v>0.41377728684454451</v>
      </c>
      <c r="AA94" s="3">
        <v>0.32400000000000001</v>
      </c>
      <c r="AB94" s="3">
        <v>0.51100000000000001</v>
      </c>
      <c r="AC94" s="3">
        <v>2.9884019750169998E-4</v>
      </c>
      <c r="AD94" s="3">
        <v>0.22960241138935089</v>
      </c>
      <c r="AE94" s="3">
        <v>9.5375679433345795E-2</v>
      </c>
      <c r="AF94" s="2">
        <v>0</v>
      </c>
      <c r="AG94" s="3">
        <v>0.38590982556343079</v>
      </c>
      <c r="AH94" s="3">
        <v>12.05799388885498</v>
      </c>
      <c r="AI94" s="3">
        <v>0</v>
      </c>
      <c r="AJ94" s="3">
        <v>0</v>
      </c>
      <c r="AK94" s="3">
        <v>-2.551327798330751</v>
      </c>
      <c r="AL94" s="3">
        <v>-0.15263838063663049</v>
      </c>
      <c r="AM94" s="3">
        <v>-0.58110384038519092</v>
      </c>
      <c r="AN94" s="3">
        <v>0.95963803523286217</v>
      </c>
      <c r="AO94" s="3">
        <v>-2.6853572317421279</v>
      </c>
      <c r="AP94" s="3">
        <v>-0.21906009540095139</v>
      </c>
      <c r="AQ94" s="3">
        <v>-0.47497146011319308</v>
      </c>
      <c r="AR94" s="3">
        <v>0.90917748631973505</v>
      </c>
      <c r="AS94" s="3">
        <v>-2.6309767323474968</v>
      </c>
      <c r="AT94" s="3">
        <v>-0.23068907534376781</v>
      </c>
      <c r="AU94" s="3">
        <v>-0.87145108871476706</v>
      </c>
      <c r="AV94" s="3">
        <v>0.93089527996457921</v>
      </c>
      <c r="AW94" s="3">
        <v>-3.0961191374242092</v>
      </c>
      <c r="AX94" s="3">
        <v>-2.966060564139247</v>
      </c>
      <c r="AY94" s="3">
        <v>-1.1073897722428609</v>
      </c>
      <c r="AZ94" s="3">
        <v>-0.93604365274315882</v>
      </c>
      <c r="BA94" s="16">
        <f t="shared" si="4"/>
        <v>-2.0264032816373692</v>
      </c>
      <c r="BB94" s="16">
        <f t="shared" si="5"/>
        <v>-0.63315540845814156</v>
      </c>
    </row>
    <row r="95" spans="1:54" x14ac:dyDescent="0.25">
      <c r="A95" s="2" t="s">
        <v>64</v>
      </c>
      <c r="B95" s="2" t="s">
        <v>65</v>
      </c>
      <c r="C95" s="3">
        <v>0.01</v>
      </c>
      <c r="D95" s="3">
        <v>0.3</v>
      </c>
      <c r="E95" s="2" t="s">
        <v>56</v>
      </c>
      <c r="F95" s="3">
        <v>1</v>
      </c>
      <c r="G95" s="2" t="s">
        <v>49</v>
      </c>
      <c r="H95" s="2" t="s">
        <v>69</v>
      </c>
      <c r="I95" s="2">
        <v>227</v>
      </c>
      <c r="J95" s="2">
        <v>3</v>
      </c>
      <c r="K95" s="2">
        <v>236</v>
      </c>
      <c r="L95" s="2">
        <v>156</v>
      </c>
      <c r="M95" s="2">
        <v>0.68700000000000006</v>
      </c>
      <c r="N95" s="2">
        <v>3</v>
      </c>
      <c r="O95" s="2">
        <v>0</v>
      </c>
      <c r="P95" s="2">
        <v>10000</v>
      </c>
      <c r="Q95" s="2">
        <v>94</v>
      </c>
      <c r="R95" s="4">
        <v>6.549227237701416</v>
      </c>
      <c r="S95" s="4">
        <v>4.9114938577016192</v>
      </c>
      <c r="T95" s="4"/>
      <c r="U95" s="4">
        <v>4.3229278723398847</v>
      </c>
      <c r="V95" s="4">
        <v>8.5565185546875</v>
      </c>
      <c r="W95" s="4">
        <v>0.63750648498535156</v>
      </c>
      <c r="X95" s="5">
        <v>103.0237405349999</v>
      </c>
      <c r="Y95" s="5">
        <v>127.5534056650004</v>
      </c>
      <c r="Z95" s="3">
        <v>0.41377728684454451</v>
      </c>
      <c r="AA95" s="3">
        <v>0.32400000000000001</v>
      </c>
      <c r="AB95" s="3">
        <v>0.51100000000000001</v>
      </c>
      <c r="AC95" s="3">
        <v>5.4767969995736998E-3</v>
      </c>
      <c r="AD95" s="3">
        <v>9.6581146121025002E-2</v>
      </c>
      <c r="AE95" s="3">
        <v>0.23673459887504569</v>
      </c>
      <c r="AF95" s="2">
        <v>0</v>
      </c>
      <c r="AG95" s="3">
        <v>0.2073170393705368</v>
      </c>
      <c r="AH95" s="3">
        <v>10.27041530609131</v>
      </c>
      <c r="AI95" s="3">
        <v>0</v>
      </c>
      <c r="AJ95" s="3">
        <v>0</v>
      </c>
      <c r="AK95" s="3">
        <v>-3.0094418232346221</v>
      </c>
      <c r="AL95" s="3">
        <v>-5.0944823681537002E-3</v>
      </c>
      <c r="AM95" s="3">
        <v>-0.3012493533526181</v>
      </c>
      <c r="AN95" s="3">
        <v>0.96651378606067462</v>
      </c>
      <c r="AO95" s="3">
        <v>-3.2492047045278691</v>
      </c>
      <c r="AP95" s="3">
        <v>-5.8871964138981797E-2</v>
      </c>
      <c r="AQ95" s="3">
        <v>-0.4889796451536379</v>
      </c>
      <c r="AR95" s="3">
        <v>0.95598942808844756</v>
      </c>
      <c r="AS95" s="3">
        <v>-3.043135907476886</v>
      </c>
      <c r="AT95" s="3">
        <v>-5.0724091642911598E-2</v>
      </c>
      <c r="AU95" s="3">
        <v>-0.27159701201472858</v>
      </c>
      <c r="AV95" s="3">
        <v>0.91860286349645703</v>
      </c>
      <c r="AW95" s="3">
        <v>-3.1324618992955902</v>
      </c>
      <c r="AX95" s="3">
        <v>-2.6017978077874191</v>
      </c>
      <c r="AY95" s="3">
        <v>-0.1925455141288292</v>
      </c>
      <c r="AZ95" s="3">
        <v>-0.18594140951085669</v>
      </c>
      <c r="BA95" s="16">
        <f t="shared" si="4"/>
        <v>-1.5281866576806737</v>
      </c>
      <c r="BB95" s="16">
        <f t="shared" si="5"/>
        <v>-0.63643274218873569</v>
      </c>
    </row>
    <row r="96" spans="1:54" x14ac:dyDescent="0.25">
      <c r="A96" s="2" t="s">
        <v>64</v>
      </c>
      <c r="B96" s="2" t="s">
        <v>65</v>
      </c>
      <c r="C96" s="3">
        <v>0.01</v>
      </c>
      <c r="D96" s="3">
        <v>0.3</v>
      </c>
      <c r="E96" s="2" t="s">
        <v>56</v>
      </c>
      <c r="F96" s="3">
        <v>1</v>
      </c>
      <c r="G96" s="2" t="s">
        <v>51</v>
      </c>
      <c r="H96" s="2" t="s">
        <v>69</v>
      </c>
      <c r="I96" s="2">
        <v>227</v>
      </c>
      <c r="J96" s="2">
        <v>3</v>
      </c>
      <c r="K96" s="2">
        <v>236</v>
      </c>
      <c r="L96" s="2">
        <v>156</v>
      </c>
      <c r="M96" s="2">
        <v>0.68700000000000006</v>
      </c>
      <c r="N96" s="2">
        <v>2</v>
      </c>
      <c r="O96" s="2">
        <v>0</v>
      </c>
      <c r="P96" s="2">
        <v>10000</v>
      </c>
      <c r="Q96" s="2">
        <v>84</v>
      </c>
      <c r="R96" s="4">
        <v>6.3932757377624512</v>
      </c>
      <c r="S96" s="4">
        <v>4.3324935436248779</v>
      </c>
      <c r="T96" s="4"/>
      <c r="U96" s="4">
        <v>4.3229533036549883</v>
      </c>
      <c r="V96" s="4">
        <v>8.5567512512207031</v>
      </c>
      <c r="W96" s="4">
        <v>0.63609850406646729</v>
      </c>
      <c r="X96" s="5">
        <v>101.4602780550003</v>
      </c>
      <c r="Y96" s="5">
        <v>126.70291148999971</v>
      </c>
      <c r="Z96" s="3">
        <v>0.41377728684454451</v>
      </c>
      <c r="AA96" s="3">
        <v>0.32400000000000001</v>
      </c>
      <c r="AB96" s="3">
        <v>0.51100000000000001</v>
      </c>
      <c r="AC96" s="3">
        <v>1.2146680383011E-3</v>
      </c>
      <c r="AD96" s="3">
        <v>0.25472447276115417</v>
      </c>
      <c r="AE96" s="3">
        <v>0.20826692879199979</v>
      </c>
      <c r="AF96" s="2">
        <v>0</v>
      </c>
      <c r="AG96" s="3">
        <v>0.34353780746459961</v>
      </c>
      <c r="AH96" s="3">
        <v>11.52300548553467</v>
      </c>
      <c r="AI96" s="3">
        <v>0</v>
      </c>
      <c r="AJ96" s="3">
        <v>0</v>
      </c>
      <c r="AK96" s="3">
        <v>-3.0171525157344612</v>
      </c>
      <c r="AL96" s="3">
        <v>-8.6132187889838396E-2</v>
      </c>
      <c r="AM96" s="3">
        <v>9.5134581374655594E-2</v>
      </c>
      <c r="AN96" s="3">
        <v>0.88898741939902981</v>
      </c>
      <c r="AO96" s="3">
        <v>-3.1931364404474358</v>
      </c>
      <c r="AP96" s="3">
        <v>-0.15392655239315589</v>
      </c>
      <c r="AQ96" s="3">
        <v>5.1927683232716997E-3</v>
      </c>
      <c r="AR96" s="3">
        <v>0.93641825078281882</v>
      </c>
      <c r="AS96" s="3">
        <v>-2.9790486996001451</v>
      </c>
      <c r="AT96" s="3">
        <v>-0.14896695658013631</v>
      </c>
      <c r="AU96" s="3">
        <v>7.0700233060254095E-2</v>
      </c>
      <c r="AV96" s="3">
        <v>0.94306267316403902</v>
      </c>
      <c r="AW96" s="3">
        <v>-3.1036230062853849</v>
      </c>
      <c r="AX96" s="3">
        <v>-2.4917420211858432</v>
      </c>
      <c r="AY96" s="3">
        <v>-0.1863026855722775</v>
      </c>
      <c r="AZ96" s="3">
        <v>-0.1247192069432887</v>
      </c>
      <c r="BA96" s="16">
        <f t="shared" si="4"/>
        <v>-1.4765967299966987</v>
      </c>
      <c r="BB96" s="16">
        <f t="shared" si="5"/>
        <v>-0.55323895221175867</v>
      </c>
    </row>
    <row r="97" spans="1:54" x14ac:dyDescent="0.25">
      <c r="A97" s="2" t="s">
        <v>64</v>
      </c>
      <c r="B97" s="2" t="s">
        <v>65</v>
      </c>
      <c r="C97" s="3">
        <v>0.01</v>
      </c>
      <c r="D97" s="3">
        <v>0.3</v>
      </c>
      <c r="E97" s="2" t="s">
        <v>56</v>
      </c>
      <c r="F97" s="3">
        <v>1</v>
      </c>
      <c r="G97" s="2" t="s">
        <v>51</v>
      </c>
      <c r="H97" s="2" t="s">
        <v>69</v>
      </c>
      <c r="I97" s="2">
        <v>227</v>
      </c>
      <c r="J97" s="2">
        <v>3</v>
      </c>
      <c r="K97" s="2">
        <v>236</v>
      </c>
      <c r="L97" s="2">
        <v>156</v>
      </c>
      <c r="M97" s="2">
        <v>0.68700000000000006</v>
      </c>
      <c r="N97" s="2">
        <v>3</v>
      </c>
      <c r="O97" s="2">
        <v>1</v>
      </c>
      <c r="P97" s="2">
        <v>1349</v>
      </c>
      <c r="Q97" s="2">
        <v>183</v>
      </c>
      <c r="R97" s="4">
        <v>5.1341409683227539</v>
      </c>
      <c r="S97" s="4">
        <v>4.1914699077606201</v>
      </c>
      <c r="T97" s="4"/>
      <c r="U97" s="4"/>
      <c r="V97" s="4"/>
      <c r="W97" s="4">
        <v>0.62618046998977661</v>
      </c>
      <c r="X97" s="5">
        <v>40.498771025000217</v>
      </c>
      <c r="Y97" s="5">
        <v>63.818744230000448</v>
      </c>
      <c r="Z97" s="3">
        <v>0.41377728684454451</v>
      </c>
      <c r="AA97" s="3">
        <v>0.32400000000000001</v>
      </c>
      <c r="AB97" s="3">
        <v>0.51100000000000001</v>
      </c>
      <c r="AC97" s="3">
        <v>1.2514593545346999E-3</v>
      </c>
      <c r="AD97" s="3">
        <v>0.16402909159660339</v>
      </c>
      <c r="AE97" s="3">
        <v>0.1609165668487548</v>
      </c>
      <c r="AF97" s="2">
        <v>0</v>
      </c>
      <c r="AG97" s="3">
        <v>0.40000000596046448</v>
      </c>
      <c r="AH97" s="3">
        <v>10.646677017211911</v>
      </c>
      <c r="AI97" s="3">
        <v>0</v>
      </c>
      <c r="AJ97" s="3">
        <v>0</v>
      </c>
      <c r="AK97" s="3">
        <v>-2.797773660392699</v>
      </c>
      <c r="AL97" s="3">
        <v>-3.1296249514831197E-2</v>
      </c>
      <c r="AM97" s="3">
        <v>2.7891411880227101E-2</v>
      </c>
      <c r="AN97" s="3">
        <v>0.93495870499449762</v>
      </c>
      <c r="AO97" s="3">
        <v>-3.0729689429004021</v>
      </c>
      <c r="AP97" s="3">
        <v>-7.8021564310538596E-2</v>
      </c>
      <c r="AQ97" s="3">
        <v>4.5996688450749501E-2</v>
      </c>
      <c r="AR97" s="3">
        <v>0.95319412317816155</v>
      </c>
      <c r="AS97" s="3">
        <v>-2.865245302374519</v>
      </c>
      <c r="AT97" s="3">
        <v>-7.1233132877100494E-2</v>
      </c>
      <c r="AU97" s="3">
        <v>7.1580686263268301E-2</v>
      </c>
      <c r="AV97" s="3">
        <v>0.93992542369661858</v>
      </c>
      <c r="AW97" s="3">
        <v>-2.8411629793696318</v>
      </c>
      <c r="AX97" s="3">
        <v>-1.865419938828544</v>
      </c>
      <c r="AY97" s="3">
        <v>-0.19610735868498749</v>
      </c>
      <c r="AZ97" s="3">
        <v>0.93895422566725417</v>
      </c>
      <c r="BA97" s="16">
        <f t="shared" si="4"/>
        <v>-0.9909340128039773</v>
      </c>
      <c r="BB97" s="16">
        <f t="shared" si="5"/>
        <v>-0.49524931782554726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M1</vt:lpstr>
      <vt:lpstr>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Martínez von Dossow</dc:creator>
  <cp:lastModifiedBy>Carlos Martínez</cp:lastModifiedBy>
  <dcterms:created xsi:type="dcterms:W3CDTF">2026-09-10T11:51:11Z</dcterms:created>
  <dcterms:modified xsi:type="dcterms:W3CDTF">2026-09-17T02:24:56Z</dcterms:modified>
</cp:coreProperties>
</file>